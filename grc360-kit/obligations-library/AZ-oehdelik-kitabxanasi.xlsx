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xu" sheetId="1" state="visible" r:id="rId1"/>
    <sheet xmlns:r="http://schemas.openxmlformats.org/officeDocument/2006/relationships" name="Mənbələr" sheetId="2" state="visible" r:id="rId2"/>
    <sheet xmlns:r="http://schemas.openxmlformats.org/officeDocument/2006/relationships" name="Öhdəliklər" sheetId="3" state="visible" r:id="rId3"/>
    <sheet xmlns:r="http://schemas.openxmlformats.org/officeDocument/2006/relationships" name="Policy-lər" sheetId="4" state="visible" r:id="rId4"/>
    <sheet xmlns:r="http://schemas.openxmlformats.org/officeDocument/2006/relationships" name="Xülasə" sheetId="5" state="visible" r:id="rId5"/>
    <sheet xmlns:r="http://schemas.openxmlformats.org/officeDocument/2006/relationships" name="Qeydlər"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B3A4A"/>
      <sz val="14"/>
    </font>
    <font>
      <name val="Arial"/>
      <color rgb="00141922"/>
      <sz val="10"/>
    </font>
    <font>
      <name val="Arial"/>
      <b val="1"/>
      <color rgb="000B3A4A"/>
      <sz val="10"/>
    </font>
    <font>
      <name val="Arial"/>
      <b val="1"/>
      <color rgb="00FFFFFF"/>
      <sz val="10"/>
    </font>
    <font>
      <name val="Arial"/>
      <sz val="10"/>
    </font>
    <font>
      <name val="Arial"/>
      <b val="1"/>
      <sz val="10"/>
    </font>
  </fonts>
  <fills count="6">
    <fill>
      <patternFill/>
    </fill>
    <fill>
      <patternFill patternType="gray125"/>
    </fill>
    <fill>
      <patternFill patternType="solid">
        <fgColor rgb="000B3A4A"/>
      </patternFill>
    </fill>
    <fill>
      <patternFill patternType="solid">
        <fgColor rgb="00FDE2E1"/>
      </patternFill>
    </fill>
    <fill>
      <patternFill patternType="solid">
        <fgColor rgb="00FFF1D6"/>
      </patternFill>
    </fill>
    <fill>
      <patternFill patternType="solid">
        <fgColor rgb="00E3F4E8"/>
      </patternFill>
    </fill>
  </fills>
  <borders count="2">
    <border>
      <left/>
      <right/>
      <top/>
      <bottom/>
      <diagonal/>
    </border>
    <border>
      <bottom style="thin">
        <color rgb="00D5DBE3"/>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4" fillId="2" borderId="0" pivotButton="0" quotePrefix="0" xfId="0"/>
    <xf numFmtId="0" fontId="5" fillId="0" borderId="0" pivotButton="0" quotePrefix="0" xfId="0"/>
    <xf numFmtId="0" fontId="6"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ources" displayName="Sources" ref="A1:H8" headerRowCount="1">
  <autoFilter ref="A1:H8"/>
  <tableColumns count="8">
    <tableColumn id="1" name="Qısa ad"/>
    <tableColumn id="2" name="Rəsmi ad"/>
    <tableColumn id="3" name="Nömrə və tarix"/>
    <tableColumn id="4" name="Nəzarət orqanı"/>
    <tableColumn id="5" name="Status"/>
    <tableColumn id="6" name="Qüvvəyə minmə"/>
    <tableColumn id="7" name="Versiya / son dəyişiklik"/>
    <tableColumn id="8" name="Mənbə linki"/>
  </tableColumns>
  <tableStyleInfo name="TableStyleLight1" showRowStripes="0"/>
</table>
</file>

<file path=xl/tables/table2.xml><?xml version="1.0" encoding="utf-8"?>
<table xmlns="http://schemas.openxmlformats.org/spreadsheetml/2006/main" id="2" name="Obligations" displayName="Obligations" ref="A1:O82" headerRowCount="1">
  <autoFilter ref="A1:O82"/>
  <tableColumns count="15">
    <tableColumn id="1" name="ID"/>
    <tableColumn id="2" name="Kateqoriya"/>
    <tableColumn id="3" name="Qanun / qayda"/>
    <tableColumn id="4" name="Maddə / bənd"/>
    <tableColumn id="5" name="Öhdəlik (AZ)"/>
    <tableColumn id="6" name="Obligation (EN)"/>
    <tableColumn id="7" name="Rəsmi mətn (sitat)"/>
    <tableColumn id="8" name="Kimə aiddir"/>
    <tableColumn id="9" name="Növ"/>
    <tableColumn id="10" name="Tezlik / son tarix"/>
    <tableColumn id="11" name="Risk"/>
    <tableColumn id="12" name="Nəzarət orqanı"/>
    <tableColumn id="13" name="Təklif olunan control-lar"/>
    <tableColumn id="14" name="Əlaqəli policy-lər"/>
    <tableColumn id="15" name="Mənbə"/>
  </tableColumns>
  <tableStyleInfo name="TableStyleLight1" showRowStripes="0"/>
</table>
</file>

<file path=xl/tables/table3.xml><?xml version="1.0" encoding="utf-8"?>
<table xmlns="http://schemas.openxmlformats.org/spreadsheetml/2006/main" id="3" name="Policies" displayName="Policies" ref="A1:E68" headerRowCount="1">
  <autoFilter ref="A1:E68"/>
  <tableColumns count="5">
    <tableColumn id="1" name="Policy / prosedur (AZ)"/>
    <tableColumn id="2" name="Policy (EN)"/>
    <tableColumn id="3" name="Məqsəd"/>
    <tableColumn id="4" name="Hansı maddələrdən irəli gəlir"/>
    <tableColumn id="5" name="Qanun"/>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GRC360 — Azərbaycan qanunları üzrə nümunə öhdəlik kitabxanası</t>
        </is>
      </c>
    </row>
    <row r="2">
      <c r="A2" s="2" t="inlineStr">
        <is>
          <t>Bu fayl nümunədir: hər öhdəlik qanunun rəsmi mətnindən sitatla (verbatim) və maddə nömrəsi ilə çıxarılıb. İstifadədən əvvəl hüquqşünas tərəfindən yoxlanmalıdır; bu hüquqi məsləhət deyil.</t>
        </is>
      </c>
    </row>
    <row r="3">
      <c r="A3" s="2" t="inlineStr"/>
    </row>
    <row r="4">
      <c r="A4" s="3" t="inlineStr">
        <is>
          <t>Vərəqlər</t>
        </is>
      </c>
    </row>
    <row r="5">
      <c r="A5" s="2" t="inlineStr">
        <is>
          <t>Mənbələr — qanun və qaydalar, rəsmi nömrə, tarix, nəzarət orqanı və mətnin götürüldüyü link.</t>
        </is>
      </c>
    </row>
    <row r="6">
      <c r="A6" s="2" t="inlineStr">
        <is>
          <t>Öhdəliklər — hər sətir bir öhdəlik: maddə, rəsmi mətndən sitat, sadə dildə öhdəlik (AZ/EN), kimə aiddir, tezlik/son tarix, risk, təklif olunan control-lar və policy-lər.</t>
        </is>
      </c>
    </row>
    <row r="7">
      <c r="A7" s="2" t="inlineStr">
        <is>
          <t>Policy-lər — bu qanunlara görə şirkətdə olmalı daxili siyasət və prosedurlar, hansı maddələrdən irəli gəlir.</t>
        </is>
      </c>
    </row>
    <row r="8">
      <c r="A8" s="2" t="inlineStr">
        <is>
          <t>Xülasə — qanun və risk səviyyəsinə görə saylar (düsturla hesablanır).</t>
        </is>
      </c>
    </row>
    <row r="9">
      <c r="A9" s="2" t="inlineStr">
        <is>
          <t>Qeydlər — mətnləri çıxararkən qarşılaşılan məhdudiyyətlər və yoxlanmalı məqamlar.</t>
        </is>
      </c>
    </row>
    <row r="10">
      <c r="A10" s="2" t="inlineStr"/>
    </row>
    <row r="11">
      <c r="A11" s="3" t="inlineStr">
        <is>
          <t>GRC360-a import</t>
        </is>
      </c>
    </row>
    <row r="12">
      <c r="A12" s="2" t="inlineStr">
        <is>
          <t>Yanındakı GRC360-obligations-import.csv faylı Compliance Hub › Obligations › Import CSV ilə birbaşa yüklənir (sütunlar: legalActName, articleOrClauseNo, category, requirementDescription, regulatoryAuthority, status, riskLevel). Bütün öhdəliklər 'Under Review' statusu ilə gəlir; Responsible Team import-dan sonra təyin edilir.</t>
        </is>
      </c>
    </row>
    <row r="13">
      <c r="A13" s="2" t="inlineStr"/>
    </row>
    <row r="14">
      <c r="A14" s="3" t="inlineStr">
        <is>
          <t>Sütunlar haqqında</t>
        </is>
      </c>
    </row>
    <row r="15">
      <c r="A15" s="2" t="inlineStr">
        <is>
          <t>Risk — pozuntunun mümkün nəticəsinə görə ilkin qiymətləndirmədir (Yüksək / Orta / Aşağı); şirkət öz kontekstinə görə dəyişməlidir.</t>
        </is>
      </c>
    </row>
    <row r="16">
      <c r="A16" s="2" t="inlineStr">
        <is>
          <t>'(yoxlanmalı)' qeydi olan dəyərlər mənbədə birbaşa təsdiqlənməyib.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24" customWidth="1" min="3" max="3"/>
    <col width="34" customWidth="1" min="4" max="4"/>
    <col width="30" customWidth="1" min="5" max="5"/>
    <col width="14" customWidth="1" min="6" max="6"/>
    <col width="30" customWidth="1" min="7" max="7"/>
    <col width="50" customWidth="1" min="8" max="8"/>
  </cols>
  <sheetData>
    <row r="1">
      <c r="A1" s="4" t="inlineStr">
        <is>
          <t>Qısa ad</t>
        </is>
      </c>
      <c r="B1" s="4" t="inlineStr">
        <is>
          <t>Rəsmi ad</t>
        </is>
      </c>
      <c r="C1" s="4" t="inlineStr">
        <is>
          <t>Nömrə və tarix</t>
        </is>
      </c>
      <c r="D1" s="4" t="inlineStr">
        <is>
          <t>Nəzarət orqanı</t>
        </is>
      </c>
      <c r="E1" s="4" t="inlineStr">
        <is>
          <t>Status</t>
        </is>
      </c>
      <c r="F1" s="4" t="inlineStr">
        <is>
          <t>Qüvvəyə minmə</t>
        </is>
      </c>
      <c r="G1" s="4" t="inlineStr">
        <is>
          <t>Versiya / son dəyişiklik</t>
        </is>
      </c>
      <c r="H1" s="4" t="inlineStr">
        <is>
          <t>Mənbə linki</t>
        </is>
      </c>
    </row>
    <row r="2">
      <c r="A2" s="5" t="inlineStr">
        <is>
          <t>Fərdi məlumatlar haqqında Qanun</t>
        </is>
      </c>
      <c r="B2" s="5" t="inlineStr">
        <is>
          <t>Azərbaycan Respublikasının "Fərdi məlumatlar haqqında" Qanunu</t>
        </is>
      </c>
      <c r="C2" s="5" t="inlineStr">
        <is>
          <t>998-IIIQ, 2010-05-11</t>
        </is>
      </c>
      <c r="D2" s="5" t="inlineStr">
        <is>
          <t>Rəqəmsal İnkişaf və Nəqliyyat Nazirliyi (qanunda: 'müvafiq icra hakimiyyəti orqanı'; konkret orqan Prezident fərmanları ilə müəyyən edilir) (yoxlanmalı)</t>
        </is>
      </c>
      <c r="E2" s="5" t="inlineStr">
        <is>
          <t>Qüvvədədir</t>
        </is>
      </c>
      <c r="F2" s="5" t="inlineStr"/>
      <c r="G2" s="5" t="inlineStr">
        <is>
          <t>28.06.2024, № 1193-VIQD (dərc: AZƏRTAC 16.07.2024; Qanunvericilik Toplusu 2024, № 7, maddə 769)</t>
        </is>
      </c>
      <c r="H2" s="5" t="inlineStr">
        <is>
          <t>https://e-qanun.az/frameworks/19/f_19675.html</t>
        </is>
      </c>
    </row>
    <row r="3">
      <c r="A3" s="5" t="inlineStr">
        <is>
          <t>İnformasiya Qanunu</t>
        </is>
      </c>
      <c r="B3" s="5" t="inlineStr">
        <is>
          <t>“İnformasiya, informasiyalaşdırma və informasiyanın mühafizəsi haqqında” Azərbaycan Respublikasının Qanunu</t>
        </is>
      </c>
      <c r="C3" s="5" t="inlineStr">
        <is>
          <t>460-IQ, 1998-04-03</t>
        </is>
      </c>
      <c r="D3" s="5" t="inlineStr">
        <is>
          <t>Milli CERT — Milli Kibertəhlükəsizlik Agentliyi qismində Rəqəmsal İnkişaf və Nəqliyyat Nazirliyi (Fərman № 729, b. 2.9, 10.08.2026 № 761 Fərmanı ilə); maliyyə bazarı subyektləri üçün AMB koordinasiyası</t>
        </is>
      </c>
      <c r="E3" s="5" t="inlineStr">
        <is>
          <t>Qüvvədədir (e-qanun.az)</t>
        </is>
      </c>
      <c r="F3" s="5" t="inlineStr"/>
      <c r="G3" s="5" t="inlineStr">
        <is>
          <t>454-VIIQD, 14.07.2026 (AZƏRTAC 10.08.2026; “Azərbaycan” qəzeti 11.08.2026, № 142) — V-II fəsil “İnformasiya infrastrukturunun informasiya təhlükəsizliyi və kibertəhlükəsizliyi” (20-7 – 20-12) əlavə edilib</t>
        </is>
      </c>
      <c r="H3" s="5" t="inlineStr">
        <is>
          <t>https://e-qanun.az/framework/3525</t>
        </is>
      </c>
    </row>
    <row r="4">
      <c r="A4" s="5" t="inlineStr">
        <is>
          <t>Elektron İmza Qanunu</t>
        </is>
      </c>
      <c r="B4" s="5" t="inlineStr">
        <is>
          <t>“Elektron imza və elektron sənəd haqqında” Azərbaycan Respublikasının Qanunu</t>
        </is>
      </c>
      <c r="C4" s="5" t="inlineStr">
        <is>
          <t>602-IIQ, 2004-03-09</t>
        </is>
      </c>
      <c r="D4" s="5" t="inlineStr">
        <is>
          <t>Rəqəmsal İnkişaf və Nəqliyyat Nazirliyi (Prezidentin 26.05.2004 № 65 Fərmanı, b. 2.3); texniki təhlükəsizlik monitorinqi — RİNN və DTX (b. 2.5)</t>
        </is>
      </c>
      <c r="E4" s="5" t="inlineStr">
        <is>
          <t>Qüvvədədir (e-qanun.az)</t>
        </is>
      </c>
      <c r="F4" s="5" t="inlineStr"/>
      <c r="G4" s="5" t="inlineStr">
        <is>
          <t>1048-VIQD, 05.12.2023 (AZƏRTAC 25.12.2023) — 1.1.15 “elektron sənəd” anlayışı yeni redaksiyada</t>
        </is>
      </c>
      <c r="H4" s="5" t="inlineStr">
        <is>
          <t>https://e-qanun.az/framework/5916</t>
        </is>
      </c>
    </row>
    <row r="5">
      <c r="A5" s="5" t="inlineStr">
        <is>
          <t>KİI Qaydaları (NK № 229) / İnformasiya Qanunu V-I fəsil</t>
        </is>
      </c>
      <c r="B5" s="5" t="inlineStr">
        <is>
          <t>“Azərbaycan Respublikasında kritik informasiya infrastrukturunun təhlükəsizliyinin təmin edilməsi qaydaları”nın təsdiq edilməsi haqqında Azərbaycan Respublikası Nazirlər Kabinetinin Qərarı</t>
        </is>
      </c>
      <c r="C5" s="5" t="inlineStr">
        <is>
          <t>229, 2023-07-17</t>
        </is>
      </c>
      <c r="D5" s="5" t="inlineStr">
        <is>
          <t>Dövlət Təhlükəsizliyi Xidməti (səlahiyyətli orqan; Milli kibermərkəz) — dövlət qurumlarına münasibətdə XRİTDX ilə birgə (Fərman № 1315, b. 1; Qaydalar b. 1.2)</t>
        </is>
      </c>
      <c r="E5" s="5" t="inlineStr">
        <is>
          <t>Qüvvədədir (e-qanun.az)</t>
        </is>
      </c>
      <c r="F5" s="5" t="inlineStr"/>
      <c r="G5" s="5" t="inlineStr">
        <is>
          <t>NK-nin 02.12.2023 № 431 Qərarı (5.1, 7.5 redaksiyası; yeni 8.4.3-1)</t>
        </is>
      </c>
      <c r="H5" s="5" t="inlineStr">
        <is>
          <t>https://e-qanun.az/framework/54651</t>
        </is>
      </c>
    </row>
    <row r="6">
      <c r="A6" s="5" t="inlineStr">
        <is>
          <t>Səlahiyyətli orqanları müəyyən edən aktlar</t>
        </is>
      </c>
      <c r="B6" s="5" t="inlineStr">
        <is>
          <t>Səlahiyyətli orqanları müəyyən edən aktlar</t>
        </is>
      </c>
      <c r="C6" s="5" t="inlineStr"/>
      <c r="D6" s="5" t="inlineStr"/>
      <c r="E6" s="5" t="inlineStr">
        <is>
          <t>Qüvvədədir</t>
        </is>
      </c>
      <c r="F6" s="5" t="inlineStr"/>
      <c r="G6" s="5" t="inlineStr"/>
      <c r="H6" s="5" t="inlineStr">
        <is>
          <t>https://e-qanun.az/framework/3605</t>
        </is>
      </c>
    </row>
    <row r="7">
      <c r="A7" s="5" t="inlineStr">
        <is>
          <t>CBAR İnformasiya təhlükəsizliyi Tələbləri (14/2)</t>
        </is>
      </c>
      <c r="B7" s="5" t="inlineStr">
        <is>
          <t>Maliyyə bazarlarında fəaliyyətinə nəzarət edilən subyektlərdə informasiya təhlükəsizliyinin təmin edilməsinə dair Tələblər</t>
        </is>
      </c>
      <c r="C7" s="5" t="inlineStr">
        <is>
          <t>Azərbaycan Respublikası Mərkəzi Bankı İdarə Heyətinin Qərarı № 14/2, 2024-03-28</t>
        </is>
      </c>
      <c r="D7" s="5" t="inlineStr">
        <is>
          <t>Azərbaycan Respublikasının Mərkəzi Bankı</t>
        </is>
      </c>
      <c r="E7" s="5" t="inlineStr">
        <is>
          <t>Qüvvədədir (in force) per e-qanun.az metadata, checked 2026-10-15</t>
        </is>
      </c>
      <c r="F7" s="5" t="inlineStr">
        <is>
          <t>2025-04-09</t>
        </is>
      </c>
      <c r="G7" s="5" t="inlineStr">
        <is>
          <t>Original text as published on e-qanun.az (no amendment footnotes present in the published HTML as of 2026-10-15)</t>
        </is>
      </c>
      <c r="H7" s="5" t="inlineStr">
        <is>
          <t>https://e-qanun.az/frameworks/56/f_56708.html</t>
        </is>
      </c>
    </row>
    <row r="8">
      <c r="A8" s="5" t="inlineStr">
        <is>
          <t>Banklarda informasiya təhlükəsizliyinin idarə edilməsi Qaydası (20/1) — LƏĞV EDİLİB</t>
        </is>
      </c>
      <c r="B8" s="5" t="inlineStr">
        <is>
          <t>Banklarda informasiya təhlükəsizliyinin idarə edilməsi Qaydası</t>
        </is>
      </c>
      <c r="C8" s="5" t="inlineStr">
        <is>
          <t>Azərbaycan Respublikası Mərkəzi Bankı İdarə Heyətinin Qərarı № 20/1, 2021-07-14</t>
        </is>
      </c>
      <c r="D8" s="5" t="inlineStr">
        <is>
          <t>Azərbaycan Respublikasının Mərkəzi Bankı</t>
        </is>
      </c>
      <c r="E8" s="5" t="inlineStr">
        <is>
          <t>REPEALED: the Rules (Part 1 of Decision 20/1) were repealed by Decision 14/2 of 28.03.2024 with effect from 09.04.2025 (14/2 Part 2; e-qanun footnote [1] on 20/1). e-qanun still shows the decision record as 'Qüvvədədir' because only Part 1 was repealed.</t>
        </is>
      </c>
      <c r="F8" s="5" t="inlineStr">
        <is>
          <t>2022-04-01</t>
        </is>
      </c>
      <c r="G8" s="5" t="inlineStr">
        <is>
          <t>Historical text only (cbar.az PDF of original 2021 decision; e-qanun f_48025.html with repeal footnote)</t>
        </is>
      </c>
      <c r="H8" s="5" t="inlineStr">
        <is>
          <t>https://uploads.cbar.az/assets/8de89476ebb3fc1e60c61555e.pdf</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82"/>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6" customWidth="1" min="3" max="3"/>
    <col width="12" customWidth="1" min="4" max="4"/>
    <col width="40" customWidth="1" min="5" max="5"/>
    <col width="40" customWidth="1" min="6" max="6"/>
    <col width="70" customWidth="1" min="7" max="7"/>
    <col width="22" customWidth="1" min="8" max="8"/>
    <col width="11" customWidth="1" min="9" max="9"/>
    <col width="22" customWidth="1" min="10" max="10"/>
    <col width="10" customWidth="1" min="11" max="11"/>
    <col width="26" customWidth="1" min="12" max="12"/>
    <col width="40" customWidth="1" min="13" max="13"/>
    <col width="32" customWidth="1" min="14" max="14"/>
    <col width="40" customWidth="1" min="15" max="15"/>
  </cols>
  <sheetData>
    <row r="1">
      <c r="A1" s="4" t="inlineStr">
        <is>
          <t>ID</t>
        </is>
      </c>
      <c r="B1" s="4" t="inlineStr">
        <is>
          <t>Kateqoriya</t>
        </is>
      </c>
      <c r="C1" s="4" t="inlineStr">
        <is>
          <t>Qanun / qayda</t>
        </is>
      </c>
      <c r="D1" s="4" t="inlineStr">
        <is>
          <t>Maddə / bənd</t>
        </is>
      </c>
      <c r="E1" s="4" t="inlineStr">
        <is>
          <t>Öhdəlik (AZ)</t>
        </is>
      </c>
      <c r="F1" s="4" t="inlineStr">
        <is>
          <t>Obligation (EN)</t>
        </is>
      </c>
      <c r="G1" s="4" t="inlineStr">
        <is>
          <t>Rəsmi mətn (sitat)</t>
        </is>
      </c>
      <c r="H1" s="4" t="inlineStr">
        <is>
          <t>Kimə aiddir</t>
        </is>
      </c>
      <c r="I1" s="4" t="inlineStr">
        <is>
          <t>Növ</t>
        </is>
      </c>
      <c r="J1" s="4" t="inlineStr">
        <is>
          <t>Tezlik / son tarix</t>
        </is>
      </c>
      <c r="K1" s="4" t="inlineStr">
        <is>
          <t>Risk</t>
        </is>
      </c>
      <c r="L1" s="4" t="inlineStr">
        <is>
          <t>Nəzarət orqanı</t>
        </is>
      </c>
      <c r="M1" s="4" t="inlineStr">
        <is>
          <t>Təklif olunan control-lar</t>
        </is>
      </c>
      <c r="N1" s="4" t="inlineStr">
        <is>
          <t>Əlaqəli policy-lər</t>
        </is>
      </c>
      <c r="O1" s="4" t="inlineStr">
        <is>
          <t>Mənbə</t>
        </is>
      </c>
    </row>
    <row r="2">
      <c r="A2" s="5" t="inlineStr">
        <is>
          <t>PD-01</t>
        </is>
      </c>
      <c r="B2" s="5" t="inlineStr">
        <is>
          <t>Fərdi məlumatlar</t>
        </is>
      </c>
      <c r="C2" s="5" t="inlineStr">
        <is>
          <t>Fərdi məlumatlar haqqında Qanun</t>
        </is>
      </c>
      <c r="D2" s="5" t="inlineStr">
        <is>
          <t>Maddə 9.6</t>
        </is>
      </c>
      <c r="E2" s="5" t="inlineStr">
        <is>
          <t>Hər emal fəaliyyəti üçün qanuni əsası (razılıq, açıq məlumat, qanun, həyat/sağlamlıq) müəyyənləşdirin və sənədləşdirin.</t>
        </is>
      </c>
      <c r="F2" s="5" t="inlineStr">
        <is>
          <t>Identify and document a lawful basis (consent, public data, law, vital interest) for every processing activity.</t>
        </is>
      </c>
      <c r="G2" s="5" t="inlineStr">
        <is>
          <t>9.6. Fərdi məlumatların toplanılması və işlənilməsi yalnız aşağıdakı şərtlərdən biri olduqda həyata keçirilə bilər: 9.6.1. subyekt fərdi məlumatların toplanılmasına və işlənilməsinə öz razılığını verdikdə və ya bu məlumatlar açıq kateqoriyalı olduqda; 9.6.2. fərdi məlumatlar onların toplanılması və işlənilməsi məqsədlərini və üsullarını müəyyən edən qanunvericilik əsasında işlənildikdə; […] 9.6.4. fərdi məlumatların toplanılması və işlənilməsi subyektin həyat və sağlamlığını qorumaq üçün lazım olduqda.</t>
        </is>
      </c>
      <c r="H2" s="5" t="inlineStr">
        <is>
          <t>Fərdi məlumatların mülkiyyətçisi və operatoru (dövlət/yerli özünüidarə orqanları, hüquqi və fiziki şəxslər; şəxsi/ailə ehtiyacları istisna — 3.3)</t>
        </is>
      </c>
      <c r="I2" s="5" t="inlineStr">
        <is>
          <t>Legal</t>
        </is>
      </c>
      <c r="J2" s="5" t="inlineStr">
        <is>
          <t>ongoing (hər yeni emal fəaliyyətindən əvvəl)</t>
        </is>
      </c>
      <c r="K2" s="6" t="inlineStr">
        <is>
          <t>Yüksək</t>
        </is>
      </c>
      <c r="L2" s="5" t="inlineStr">
        <is>
          <t>Rəqəmsal İnkişaf və Nəqliyyat Nazirliyi (qanunda: 'müvafiq icra hakimiyyəti orqanı'; konkret orqan Prezident fərmanları ilə müəyyən edilir) (yoxlanmalı)</t>
        </is>
      </c>
      <c r="M2" s="5" t="inlineStr">
        <is>
          <t>• Emal fəaliyyətləri reyestrində hər fəaliyyət üçün hüquqi əsas sahəsi
• Yeni layihələrdə məxfilik qiymətləndirməsi (privacy-by-design checklist)
• Hüquq şöbəsinin hüquqi əsası təsdiqləməsi</t>
        </is>
      </c>
      <c r="N2" s="5" t="inlineStr">
        <is>
          <t>• Fərdi məlumatların mühafizəsi siyasəti
• Emal fəaliyyətlərinin reyestri proseduru</t>
        </is>
      </c>
      <c r="O2" s="5" t="inlineStr">
        <is>
          <t>https://e-qanun.az/frameworks/19/f_19675.html</t>
        </is>
      </c>
    </row>
    <row r="3">
      <c r="A3" s="5" t="inlineStr">
        <is>
          <t>PD-02</t>
        </is>
      </c>
      <c r="B3" s="5" t="inlineStr">
        <is>
          <t>Fərdi məlumatlar</t>
        </is>
      </c>
      <c r="C3" s="5" t="inlineStr">
        <is>
          <t>Fərdi məlumatlar haqqında Qanun</t>
        </is>
      </c>
      <c r="D3" s="5" t="inlineStr">
        <is>
          <t>Maddə 8.1, 8.2</t>
        </is>
      </c>
      <c r="E3" s="5" t="inlineStr">
        <is>
          <t>Razılığı yazılı (və ya gücləndirilmiş e-imza ilə) alın; formaya 8.2-də tələb olunan bütün elementləri daxil edin.</t>
        </is>
      </c>
      <c r="F3" s="5" t="inlineStr">
        <is>
          <t>Obtain consent in writing (or with qualified e-signature) and include all elements required by Art. 8.2.</t>
        </is>
      </c>
      <c r="G3" s="5" t="inlineStr">
        <is>
          <t>8.1. Azərbaycan Respublikasının qanunvericiliyi ilə müəyyən olunmuş qaydada fərdi məlumatların məcburi şəkildə toplanılması və işlənilməsi halları istisna olmaqla, hər hansı şəxs barəsində fərdi məlumatların toplanılmasına və işlənilməsinə yalnız subyekt tərəfindən verilmiş yazılı, o cümlədən gücləndirilmiş elektron imzalı elektron sənəd formasında razılıq və ya özünün yazılı təqdim etdiyi məlumatlar əsasında yol verilir. 8.2. Subyektin fərdi məlumatların işlənilməsi üçün yazılı (o cümlədən Elektron Hökumət İnformasiya Sistemi üzərindən) razılığına aşağıdakılar daxil edilməlidir:[3] 8.2.1. subyektin kimliyini müəyyənləşdirməyə imkan verən məlumatlar; 8.2.2. subyektdən razılıq alan mülkiyyətçinin və ya operatorun kimliyini müəyyənləşdirməyə imkan verən məlumatlar; 8.2.3. fərdi məlumatların toplanılması və işlənilməsi məqsədi; 8.2.4. subyekt tərəfindən işlənilməsinə razılıq verilmiş fərdi məlumatların və onların işlənilmə əməliyyatlarının siyahıları; 8.2.5. subyektin razılığının qüvvədə olma dövrü və onun geri götürülməsi şərtləri;</t>
        </is>
      </c>
      <c r="H3" s="5" t="inlineStr">
        <is>
          <t>Fərdi məlumatların mülkiyyətçisi və operatoru (dövlət/yerli özünüidarə orqanları, hüquqi və fiziki şəxslər; şəxsi/ailə ehtiyacları istisna — 3.3)</t>
        </is>
      </c>
      <c r="I3" s="5" t="inlineStr">
        <is>
          <t>Legal</t>
        </is>
      </c>
      <c r="J3" s="5" t="inlineStr">
        <is>
          <t>on event (məlumat toplanmazdan əvvəl)</t>
        </is>
      </c>
      <c r="K3" s="6" t="inlineStr">
        <is>
          <t>Yüksək</t>
        </is>
      </c>
      <c r="L3" s="5" t="inlineStr">
        <is>
          <t>Rəqəmsal İnkişaf və Nəqliyyat Nazirliyi (qanunda: 'müvafiq icra hakimiyyəti orqanı'; konkret orqan Prezident fərmanları ilə müəyyən edilir) (yoxlanmalı)</t>
        </is>
      </c>
      <c r="M3" s="5" t="inlineStr">
        <is>
          <t>• Standart razılıq forması şablonu (8.2.1–8.2.6 elementləri ilə)
• Razılıq formalarının hüquqi baxışı
• Yetkinlik yaşına çatmayanlar üçün valideyn/qanuni nümayəndə razılığı (8.3)</t>
        </is>
      </c>
      <c r="N3" s="5" t="inlineStr">
        <is>
          <t>• Razılığın idarə edilməsi proseduru
• Məxfilik bildirişi (subyektin məlumatlandırılması)</t>
        </is>
      </c>
      <c r="O3" s="5" t="inlineStr">
        <is>
          <t>https://e-qanun.az/frameworks/19/f_19675.html</t>
        </is>
      </c>
    </row>
    <row r="4">
      <c r="A4" s="5" t="inlineStr">
        <is>
          <t>PD-03</t>
        </is>
      </c>
      <c r="B4" s="5" t="inlineStr">
        <is>
          <t>Fərdi məlumatlar</t>
        </is>
      </c>
      <c r="C4" s="5" t="inlineStr">
        <is>
          <t>Fərdi məlumatlar haqqında Qanun</t>
        </is>
      </c>
      <c r="D4" s="5" t="inlineStr">
        <is>
          <t>Maddə 8.4, 8.6</t>
        </is>
      </c>
      <c r="E4" s="5" t="inlineStr">
        <is>
          <t>Razılığın sübutunu saxlayın; razılığın alınması və geri çağırılmasını Elektron Hökumət İnformasiya Sistemi üzərindən təmin edin.</t>
        </is>
      </c>
      <c r="F4" s="5" t="inlineStr">
        <is>
          <t>Retain evidence of consent; handle consent collection and withdrawal through the e-Government Information System.</t>
        </is>
      </c>
      <c r="G4" s="5" t="inlineStr">
        <is>
          <t>8.4. Subyektdən onun fərdi məlumatlarının toplanılması və işlənilməsi üçün razılığın alınması haqqında sübutun təqdim olunması vəzifəsi mülkiyyətçinin və ya operatorun üzərinə düşür. […] 8.6. Bu Qanunun 3.2-ci maddəsində qeyd edilən hallar, habelə Azərbaycan Respublikasının normativ hüquqi aktları ilə müəyyən olunmuş qaydada fərdi məlumatların məcburi şəkildə toplanılması və işlənilməsi istisna olmaqla, fərdi məlumatların toplanılmasına və işlənilməsinə subyektlərin razılığının alınması və geri çağırılması mərkəzləşdirilmiş qaydada Elektron Hökumət İnformasiya Sistemi üzərindən təmin edilir.</t>
        </is>
      </c>
      <c r="H4" s="5" t="inlineStr">
        <is>
          <t>Fərdi məlumatların mülkiyyətçisi və operatoru (dövlət/yerli özünüidarə orqanları, hüquqi və fiziki şəxslər; şəxsi/ailə ehtiyacları istisna — 3.3)</t>
        </is>
      </c>
      <c r="I4" s="5" t="inlineStr">
        <is>
          <t>Legal</t>
        </is>
      </c>
      <c r="J4" s="5" t="inlineStr">
        <is>
          <t>ongoing</t>
        </is>
      </c>
      <c r="K4" s="7" t="inlineStr">
        <is>
          <t>Orta</t>
        </is>
      </c>
      <c r="L4" s="5" t="inlineStr">
        <is>
          <t>Rəqəmsal İnkişaf və Nəqliyyat Nazirliyi (qanunda: 'müvafiq icra hakimiyyəti orqanı'; konkret orqan Prezident fərmanları ilə müəyyən edilir) (yoxlanmalı)</t>
        </is>
      </c>
      <c r="M4" s="5" t="inlineStr">
        <is>
          <t>• Razılıq jurnalı (kim, nə vaxt, hansı versiya, kanal)
• EHİS (e-gov) razılıq inteqrasiyası və ya prosedur
• Razılıq qeydlərinin saxlanma müddəti</t>
        </is>
      </c>
      <c r="N4" s="5" t="inlineStr">
        <is>
          <t>• Razılığın idarə edilməsi proseduru</t>
        </is>
      </c>
      <c r="O4" s="5" t="inlineStr">
        <is>
          <t>https://e-qanun.az/frameworks/19/f_19675.html</t>
        </is>
      </c>
    </row>
    <row r="5">
      <c r="A5" s="5" t="inlineStr">
        <is>
          <t>PD-04</t>
        </is>
      </c>
      <c r="B5" s="5" t="inlineStr">
        <is>
          <t>Fərdi məlumatlar</t>
        </is>
      </c>
      <c r="C5" s="5" t="inlineStr">
        <is>
          <t>Fərdi məlumatlar haqqında Qanun</t>
        </is>
      </c>
      <c r="D5" s="5" t="inlineStr">
        <is>
          <t>Maddə 9.1, 9.2, 9.3, 11.1</t>
        </is>
      </c>
      <c r="E5" s="5" t="inlineStr">
        <is>
          <t>Məqsədi əvvəlcədən bəyan edin, yalnız zəruri məlumatları toplayın, məlumatları dəqiq və aktual saxlayın.</t>
        </is>
      </c>
      <c r="F5" s="5" t="inlineStr">
        <is>
          <t>Declare purposes in advance, collect only necessary data, and keep data accurate and up to date.</t>
        </is>
      </c>
      <c r="G5" s="5" t="inlineStr">
        <is>
          <t>Fərdi məlumatlar yalnız qanuni, əvvəlcədən müəyyən olunmuş və bəyan edilmiş məqsədlər üçün toplanılmalı və göstərilmiş məqsədlərə uyğun üsullarla işlənilməlidir. 9.2. Toplanılan və işlənilən fərdi məlumatların həcmi və xarakteri bəyan edilmiş məqsədlərə və mülkiyyətçilərin səlahiyyətlərinə uyğun olmalıdır. 9.3. Fərdi məlumatlar dəqiq, tam olmalı və zərurət yarandıqda təzələnməlidir. […] 11.1. Mülkiyyətçi və ya operator subyektdən yalnız işlənilmə məqsədlərinə nail olmaq üçün zəruri olan fərdi məlumatları almaq hüququna malikdir.</t>
        </is>
      </c>
      <c r="H5" s="5" t="inlineStr">
        <is>
          <t>Fərdi məlumatların mülkiyyətçisi və operatoru (dövlət/yerli özünüidarə orqanları, hüquqi və fiziki şəxslər; şəxsi/ailə ehtiyacları istisna — 3.3)</t>
        </is>
      </c>
      <c r="I5" s="5" t="inlineStr">
        <is>
          <t>Legal</t>
        </is>
      </c>
      <c r="J5" s="5" t="inlineStr">
        <is>
          <t>ongoing</t>
        </is>
      </c>
      <c r="K5" s="7" t="inlineStr">
        <is>
          <t>Orta</t>
        </is>
      </c>
      <c r="L5" s="5" t="inlineStr">
        <is>
          <t>Rəqəmsal İnkişaf və Nəqliyyat Nazirliyi (qanunda: 'müvafiq icra hakimiyyəti orqanı'; konkret orqan Prezident fərmanları ilə müəyyən edilir) (yoxlanmalı)</t>
        </is>
      </c>
      <c r="M5" s="5" t="inlineStr">
        <is>
          <t>• Formalarda sahələrin zərurilik baxışı (data minimisation review)
• Məlumat keyfiyyəti/yeniləmə proseduru
• Məqsəd dəyişikliyində yenidən qiymətləndirmə</t>
        </is>
      </c>
      <c r="N5" s="5" t="inlineStr">
        <is>
          <t>• Fərdi məlumatların mühafizəsi siyasəti
• Emal fəaliyyətlərinin reyestri proseduru</t>
        </is>
      </c>
      <c r="O5" s="5" t="inlineStr">
        <is>
          <t>https://e-qanun.az/frameworks/19/f_19675.html</t>
        </is>
      </c>
    </row>
    <row r="6">
      <c r="A6" s="5" t="inlineStr">
        <is>
          <t>PD-05</t>
        </is>
      </c>
      <c r="B6" s="5" t="inlineStr">
        <is>
          <t>Fərdi məlumatlar</t>
        </is>
      </c>
      <c r="C6" s="5" t="inlineStr">
        <is>
          <t>Fərdi məlumatlar haqqında Qanun</t>
        </is>
      </c>
      <c r="D6" s="5" t="inlineStr">
        <is>
          <t>Maddə 9.4</t>
        </is>
      </c>
      <c r="E6" s="5" t="inlineStr">
        <is>
          <t>Məqsədə nail olunduqda və saxlanma zərurəti aradan qalxdıqda fərdi məlumatları təxirə salınmadan məhv edin.</t>
        </is>
      </c>
      <c r="F6" s="5" t="inlineStr">
        <is>
          <t>Destroy personal data without delay once the purpose is achieved and retention is no longer necessary.</t>
        </is>
      </c>
      <c r="G6" s="5" t="inlineStr">
        <is>
          <t>9.4. Fərdi məlumatların toplanılması və işlənilməsi məqsədlərinə nail olunduqda və onların saxlanılması zərurəti aradan qalxdıqda həmin məlumatlar təxirə salınmadan məhv edilməlidir.</t>
        </is>
      </c>
      <c r="H6" s="5" t="inlineStr">
        <is>
          <t>Fərdi məlumatların mülkiyyətçisi və operatoru (dövlət/yerli özünüidarə orqanları, hüquqi və fiziki şəxslər; şəxsi/ailə ehtiyacları istisna — 3.3)</t>
        </is>
      </c>
      <c r="I6" s="5" t="inlineStr">
        <is>
          <t>Legal</t>
        </is>
      </c>
      <c r="J6" s="5" t="inlineStr">
        <is>
          <t>on event (məqsəd bitdikdə — təxirə salınmadan) + periodik baxış</t>
        </is>
      </c>
      <c r="K6" s="7" t="inlineStr">
        <is>
          <t>Orta</t>
        </is>
      </c>
      <c r="L6" s="5" t="inlineStr">
        <is>
          <t>Rəqəmsal İnkişaf və Nəqliyyat Nazirliyi (qanunda: 'müvafiq icra hakimiyyəti orqanı'; konkret orqan Prezident fərmanları ilə müəyyən edilir) (yoxlanmalı)</t>
        </is>
      </c>
      <c r="M6" s="5" t="inlineStr">
        <is>
          <t>• Məlumat kateqoriyaları üzrə saxlanma cədvəli
• Avtomatik silmə/arxivləşdirmə qaydaları
• Məhvetmə aktları (protokol) və təsdiq</t>
        </is>
      </c>
      <c r="N6" s="5" t="inlineStr">
        <is>
          <t>• Məlumatların saxlanması və məhv edilməsi siyasəti</t>
        </is>
      </c>
      <c r="O6" s="5" t="inlineStr">
        <is>
          <t>https://e-qanun.az/frameworks/19/f_19675.html</t>
        </is>
      </c>
    </row>
    <row r="7">
      <c r="A7" s="5" t="inlineStr">
        <is>
          <t>PD-06</t>
        </is>
      </c>
      <c r="B7" s="5" t="inlineStr">
        <is>
          <t>Fərdi məlumatlar</t>
        </is>
      </c>
      <c r="C7" s="5" t="inlineStr">
        <is>
          <t>Fərdi məlumatlar haqqında Qanun</t>
        </is>
      </c>
      <c r="D7" s="5" t="inlineStr">
        <is>
          <t>Maddə 9.7, 9.8</t>
        </is>
      </c>
      <c r="E7" s="5" t="inlineStr">
        <is>
          <t>Xüsusi kateqoriyalı məlumatları (irq, din, səhhət, məhkumluq və s.) yalnız 9.7 istisnaları ilə emal edin; əsas aradan qalxdıqda bloklayın/məhv edin.</t>
        </is>
      </c>
      <c r="F7" s="5" t="inlineStr">
        <is>
          <t>Process special-category data only under Art. 9.7 exceptions; block/destroy it once the ground ceases.</t>
        </is>
      </c>
      <c r="G7" s="5" t="inlineStr">
        <is>
          <t>9.7. Xüsusi kateqoriyalı məlumatların toplanılmasına və işlənilməsinə, aşağıdakı hallar istisna olmaqla, yol verilmir: 9.7.1. xüsusi kateqoriyalı məlumatların toplanılması və işlənilməsi qanunla müəyyən olunmuş hallarda məcburi xarakter daşıdıqda; 9.7.1-1. subyektin yazılı (o cümlədən Elektron Hökumət İnformasiya Sistemi üzərindən) razılığı olduqda; […] 9.8. Bu Qanunun 9.7-ci maddəsində nəzərdə tutulmuş hallarda xüsusi kateqoriyalı məlumatların toplanılması və işlənilməsi səbəbləri aradan qaldırıldıqda həmin məlumatlara dərhal qadağan qoyulmalı, xüsusi kateqoriyalı məlumatların subyekti həmin məlumatların informasiya sistemində saxlanmasına və ya arxivə verilməsinə razılıq vermədikdə bu məlumatlar təxirə salınmadan məhv edilməlidir.</t>
        </is>
      </c>
      <c r="H7" s="5" t="inlineStr">
        <is>
          <t>Fərdi məlumatların mülkiyyətçisi və operatoru (dövlət/yerli özünüidarə orqanları, hüquqi və fiziki şəxslər; şəxsi/ailə ehtiyacları istisna — 3.3)</t>
        </is>
      </c>
      <c r="I7" s="5" t="inlineStr">
        <is>
          <t>Legal</t>
        </is>
      </c>
      <c r="J7" s="5" t="inlineStr">
        <is>
          <t>ongoing; on event (əsas aradan qalxdıqda — dərhal)</t>
        </is>
      </c>
      <c r="K7" s="6" t="inlineStr">
        <is>
          <t>Yüksək</t>
        </is>
      </c>
      <c r="L7" s="5" t="inlineStr">
        <is>
          <t>Rəqəmsal İnkişaf və Nəqliyyat Nazirliyi (qanunda: 'müvafiq icra hakimiyyəti orqanı'; konkret orqan Prezident fərmanları ilə müəyyən edilir) (yoxlanmalı)</t>
        </is>
      </c>
      <c r="M7" s="5" t="inlineStr">
        <is>
          <t>• Xüsusi kateqoriyalı məlumatların inventarı
• Ayrıca yazılı razılıq forması
• Gücləndirilmiş giriş məhdudiyyəti və şifrələmə</t>
        </is>
      </c>
      <c r="N7" s="5" t="inlineStr">
        <is>
          <t>• Xüsusi kateqoriyalı və biometrik məlumatların emalı proseduru
• Məlumatların saxlanması və məhv edilməsi siyasəti</t>
        </is>
      </c>
      <c r="O7" s="5" t="inlineStr">
        <is>
          <t>https://e-qanun.az/frameworks/19/f_19675.html</t>
        </is>
      </c>
    </row>
    <row r="8">
      <c r="A8" s="5" t="inlineStr">
        <is>
          <t>PD-07</t>
        </is>
      </c>
      <c r="B8" s="5" t="inlineStr">
        <is>
          <t>Fərdi məlumatlar</t>
        </is>
      </c>
      <c r="C8" s="5" t="inlineStr">
        <is>
          <t>Fərdi məlumatlar haqqında Qanun</t>
        </is>
      </c>
      <c r="D8" s="5" t="inlineStr">
        <is>
          <t>Maddə 9.5</t>
        </is>
      </c>
      <c r="E8" s="5" t="inlineStr">
        <is>
          <t>Biometrik məlumatlara (barmaq izi, üz təsviri, səs və s.) qanunun bütün emal şərtlərini tam həcmdə tətbiq edin.</t>
        </is>
      </c>
      <c r="F8" s="5" t="inlineStr">
        <is>
          <t>Apply all processing conditions of the Law in full to biometric data (fingerprints, face images, voice, etc.).</t>
        </is>
      </c>
      <c r="G8" s="5" t="inlineStr">
        <is>
          <t>9.5. Fərdi məlumatların bu Qanunla müəyyən olunmuş toplanılması və işlənilməsi şərtləri insan orqanizminin bioloji xüsusiyyətlərini səciyyələndirən və onun kimliyini birmənalı olaraq müəyyənləşdirməyə imkan verən məlumatların – əl-barmaq və ovuc izləri, üz təsviri, gözün qüzehli və tor qişası, səs fraqmenti və onun akustik parametrləri, dezoksiribonuklein turşusu (DNT) analizinin nəticələri, bədən ölçüləri, bədənin xüsusi əlamətlərinin və fiziki çatışmazlıqlarının təsviri, yazı xətti və imzası, habelə digər biometrik məlumatların toplanılmasına və işlənilməsinə tam həcmdə şamil edilir.</t>
        </is>
      </c>
      <c r="H8" s="5" t="inlineStr">
        <is>
          <t>Fərdi məlumatların mülkiyyətçisi və operatoru (dövlət/yerli özünüidarə orqanları, hüquqi və fiziki şəxslər; şəxsi/ailə ehtiyacları istisna — 3.3)</t>
        </is>
      </c>
      <c r="I8" s="5" t="inlineStr">
        <is>
          <t>Legal</t>
        </is>
      </c>
      <c r="J8" s="5" t="inlineStr">
        <is>
          <t>ongoing</t>
        </is>
      </c>
      <c r="K8" s="7" t="inlineStr">
        <is>
          <t>Orta</t>
        </is>
      </c>
      <c r="L8" s="5" t="inlineStr">
        <is>
          <t>Rəqəmsal İnkişaf və Nəqliyyat Nazirliyi (qanunda: 'müvafiq icra hakimiyyəti orqanı'; konkret orqan Prezident fərmanları ilə müəyyən edilir) (yoxlanmalı)</t>
        </is>
      </c>
      <c r="M8" s="5" t="inlineStr">
        <is>
          <t>• Biometrik sistemlərin (giriş-nəzarət, FaceID, səs qeydi) inventarı
• Biometrik emal üçün ayrıca razılıq və məlumatlandırma
• Biometrik şablonların şifrələnməsi</t>
        </is>
      </c>
      <c r="N8" s="5" t="inlineStr">
        <is>
          <t>• Xüsusi kateqoriyalı və biometrik məlumatların emalı proseduru</t>
        </is>
      </c>
      <c r="O8" s="5" t="inlineStr">
        <is>
          <t>https://e-qanun.az/frameworks/19/f_19675.html</t>
        </is>
      </c>
    </row>
    <row r="9">
      <c r="A9" s="5" t="inlineStr">
        <is>
          <t>PD-08</t>
        </is>
      </c>
      <c r="B9" s="5" t="inlineStr">
        <is>
          <t>Fərdi məlumatlar</t>
        </is>
      </c>
      <c r="C9" s="5" t="inlineStr">
        <is>
          <t>Fərdi məlumatlar haqqında Qanun</t>
        </is>
      </c>
      <c r="D9" s="5" t="inlineStr">
        <is>
          <t>Maddə 11.2, 11.3</t>
        </is>
      </c>
      <c r="E9" s="5" t="inlineStr">
        <is>
          <t>Toplama zamanı subyektə kimliyinizi, məqsədi və əsasını, mühafizə səviyyəsini, sertifikat/ekspertiza, alıcıları və hüquqlarını bildirin.</t>
        </is>
      </c>
      <c r="F9" s="5" t="inlineStr">
        <is>
          <t>At collection, inform subjects of your identity, purpose and basis, protection level, certification/expertise, recipients and rights.</t>
        </is>
      </c>
      <c r="G9" s="5" t="inlineStr">
        <is>
          <t>11.2. Mülkiyyətçi və ya operator fərdi məlumatları toplayarkən subyektə aşağıdakıları mütləq bildirməlidir: 11.2.1. mülkiyyətçinin və ya operatorun kimliyini müəyyənləşdirən məlumatlar; 11.2.2. fərdi məlumatların işlənilmə məqsədi və bu məqsədin hüquqi cəhətdən əsaslandırılması; 11.2.3. toplanılan və işlənilən fərdi məlumatların informasiya sistemində mühafizə səviyyəsi; 11.2.4. informasiya sistemlərinin uyğunluq sertifikatının mövcudluğu və dövlət ekspertizasından keçirilməsi haqqında məlumat; 11.2.5. fərdi məlumatların nəzərdə tutulan istifadəçilərinin, o cümlədən məlumat mübadiləsi aparılması nəzərdə tutulan informasiya sisteminin dairəsi; 11.2.6. subyektin bu Qanunla müəyyən olunmuş hüquqları barədə məlumatlar. 11.3. Fərdi məlumatların təqdim olunması qanunla müəyyən olunmuşdursa, mülkiyyətçi və ya operator subyektə fərdi məlumatların məcburi şəkildə təqdim edilməsindən imtinanın hüquqi nəticələri barədə məlumat verməlidir.</t>
        </is>
      </c>
      <c r="H9" s="5" t="inlineStr">
        <is>
          <t>Fərdi məlumatların mülkiyyətçisi və operatoru (dövlət/yerli özünüidarə orqanları, hüquqi və fiziki şəxslər; şəxsi/ailə ehtiyacları istisna — 3.3)</t>
        </is>
      </c>
      <c r="I9" s="5" t="inlineStr">
        <is>
          <t>Legal</t>
        </is>
      </c>
      <c r="J9" s="5" t="inlineStr">
        <is>
          <t>on event (məlumat toplanarkən)</t>
        </is>
      </c>
      <c r="K9" s="6" t="inlineStr">
        <is>
          <t>Yüksək</t>
        </is>
      </c>
      <c r="L9" s="5" t="inlineStr">
        <is>
          <t>Rəqəmsal İnkişaf və Nəqliyyat Nazirliyi (qanunda: 'müvafiq icra hakimiyyəti orqanı'; konkret orqan Prezident fərmanları ilə müəyyən edilir) (yoxlanmalı)</t>
        </is>
      </c>
      <c r="M9" s="5" t="inlineStr">
        <is>
          <t>• 11.2.1–11.2.6 elementlərini əhatə edən məxfilik bildirişi
• Bildirişin bütün toplama kanallarında (veb, mobil, kağız) yerləşdirilməsi
• Məcburi məlumatlar üçün imtinanın nəticələri barədə mətn (11.3)</t>
        </is>
      </c>
      <c r="N9" s="5" t="inlineStr">
        <is>
          <t>• Məxfilik bildirişi (subyektin məlumatlandırılması)</t>
        </is>
      </c>
      <c r="O9" s="5" t="inlineStr">
        <is>
          <t>https://e-qanun.az/frameworks/19/f_19675.html</t>
        </is>
      </c>
    </row>
    <row r="10">
      <c r="A10" s="5" t="inlineStr">
        <is>
          <t>PD-09</t>
        </is>
      </c>
      <c r="B10" s="5" t="inlineStr">
        <is>
          <t>Fərdi məlumatlar</t>
        </is>
      </c>
      <c r="C10" s="5" t="inlineStr">
        <is>
          <t>Fərdi məlumatlar haqqında Qanun</t>
        </is>
      </c>
      <c r="D10" s="5" t="inlineStr">
        <is>
          <t>Maddə 5.8, 5.5, 10.1</t>
        </is>
      </c>
      <c r="E10" s="5" t="inlineStr">
        <is>
          <t>Fərdi məlumatları itki, icazəsiz giriş, dəyişdirilmə və məhvdən qorumaq üçün texniki-təşkilati tədbirlər görün.</t>
        </is>
      </c>
      <c r="F10" s="5" t="inlineStr">
        <is>
          <t>Implement technical and organisational measures protecting personal data against loss, unauthorised access, alteration and destruction.</t>
        </is>
      </c>
      <c r="G10" s="5" t="inlineStr">
        <is>
          <t>5.8. Mülkiyyətçi və ya operator fərdi məlumatların mühafizəsinin (o cümlədən təsadüfi və icazəsiz məhv edilməsinin, itirilməsinin, qanunsuz müdaxilənin, dəyişdirilməsinin və digər halların qarşısının alınmasının) təmin edilməsinə zəmanət verən texniki-təşkilati tədbirlər görməlidir. […] Fərdi məlumatların mühafizəsi mülkiyyətçilər və operatorlar tərəfindən təmin olunmalıdır. […] 10.1. Fərdi məlumatların toplanılması və işlənilməsi zamanı mülkiyyətçinin vəzifələri fərdi məlumatların toplanılmasının və işlənilməsinin qanuniliyini və təhlükəsizliyini təmin etməkdən ibarətdir.</t>
        </is>
      </c>
      <c r="H10" s="5" t="inlineStr">
        <is>
          <t>Fərdi məlumatların mülkiyyətçisi və operatoru (dövlət/yerli özünüidarə orqanları, hüquqi və fiziki şəxslər; şəxsi/ailə ehtiyacları istisna — 3.3)</t>
        </is>
      </c>
      <c r="I10" s="5" t="inlineStr">
        <is>
          <t>Legal</t>
        </is>
      </c>
      <c r="J10" s="5" t="inlineStr">
        <is>
          <t>ongoing</t>
        </is>
      </c>
      <c r="K10" s="6" t="inlineStr">
        <is>
          <t>Yüksək</t>
        </is>
      </c>
      <c r="L10" s="5" t="inlineStr">
        <is>
          <t>Rəqəmsal İnkişaf və Nəqliyyat Nazirliyi; mühafizə tələblərinə nəzarətdə təhlükəsizlik orqanları da iştirak edə bilər (5.9-cu maddə: tələblər 'müvafiq icra hakimiyyəti orqanı' tərəfindən müəyyən olunur) (yoxlanmalı)</t>
        </is>
      </c>
      <c r="M10" s="5" t="inlineStr">
        <is>
          <t>• Rol əsaslı giriş nəzarəti və ən az imtiyaz prinsipi
• Saxlanmada və ötürmədə şifrələmə
• Ehtiyat nüsxə və bərpa testləri
• İllik risk qiymətləndirməsi və zəiflik skanı
• Nazirlər Kabinetinin 'Fərdi məlumatların mühafizəsinə dair Tələblər'inə uyğunluq yoxlaması (5.9)</t>
        </is>
      </c>
      <c r="N10" s="5" t="inlineStr">
        <is>
          <t>• İnformasiya təhlükəsizliyi siyasəti
• Girişə nəzarət və audit jurnalı proseduru
• Fərdi məlumat insidentlərinə cavab proseduru</t>
        </is>
      </c>
      <c r="O10" s="5" t="inlineStr">
        <is>
          <t>https://e-qanun.az/frameworks/19/f_19675.html</t>
        </is>
      </c>
    </row>
    <row r="11">
      <c r="A11" s="5" t="inlineStr">
        <is>
          <t>PD-10</t>
        </is>
      </c>
      <c r="B11" s="5" t="inlineStr">
        <is>
          <t>Fərdi məlumatlar</t>
        </is>
      </c>
      <c r="C11" s="5" t="inlineStr">
        <is>
          <t>Fərdi məlumatlar haqqında Qanun</t>
        </is>
      </c>
      <c r="D11" s="5" t="inlineStr">
        <is>
          <t>Maddə 5.5</t>
        </is>
      </c>
      <c r="E11" s="5" t="inlineStr">
        <is>
          <t>Fərdi məlumatlarla işləyən hər əməkdaşdan işdən çıxdıqdan sonra da qüvvədə olan yazılı məxfilik öhdəliyi alın.</t>
        </is>
      </c>
      <c r="F11" s="5" t="inlineStr">
        <is>
          <t>Obtain a written non-disclosure undertaking, surviving termination, from every staff member handling personal data.</t>
        </is>
      </c>
      <c r="G11" s="5" t="inlineStr">
        <is>
          <t>Fərdi məlumatların toplanılması, işlənilməsi və mühafizəsi sahəsində fəaliyyət göstərən fiziki şəxslər fəaliyyət müddətində və işdən çıxdıqdan sonra həmin məlumatların yayılmaması barədə yazılı iltizam verməlidirlər.</t>
        </is>
      </c>
      <c r="H11" s="5" t="inlineStr">
        <is>
          <t>Mülkiyyətçi və operator (onların fərdi məlumatlarla işləyən əməkdaşları — fiziki şəxslər)</t>
        </is>
      </c>
      <c r="I11" s="5" t="inlineStr">
        <is>
          <t>Legal</t>
        </is>
      </c>
      <c r="J11" s="5" t="inlineStr">
        <is>
          <t>on event (işə qəbul / vəzifəyə təyinat zamanı)</t>
        </is>
      </c>
      <c r="K11" s="7" t="inlineStr">
        <is>
          <t>Orta</t>
        </is>
      </c>
      <c r="L11" s="5" t="inlineStr">
        <is>
          <t>Rəqəmsal İnkişaf və Nəqliyyat Nazirliyi (qanunda: 'müvafiq icra hakimiyyəti orqanı'; konkret orqan Prezident fərmanları ilə müəyyən edilir) (yoxlanmalı)</t>
        </is>
      </c>
      <c r="M11" s="5" t="inlineStr">
        <is>
          <t>• İşə qəbul paketində məxfilik öhdəliyi forması
• HR sistemində imzalanmış öhdəliklərin uçotu
• İllik məxfilik təlimi</t>
        </is>
      </c>
      <c r="N11" s="5" t="inlineStr">
        <is>
          <t>• Əməkdaşların məxfilik öhdəliyi
• İnformasiya təhlükəsizliyi siyasəti</t>
        </is>
      </c>
      <c r="O11" s="5" t="inlineStr">
        <is>
          <t>https://e-qanun.az/frameworks/19/f_19675.html</t>
        </is>
      </c>
    </row>
    <row r="12">
      <c r="A12" s="5" t="inlineStr">
        <is>
          <t>PD-11</t>
        </is>
      </c>
      <c r="B12" s="5" t="inlineStr">
        <is>
          <t>Fərdi məlumatlar</t>
        </is>
      </c>
      <c r="C12" s="5" t="inlineStr">
        <is>
          <t>Fərdi məlumatlar haqqında Qanun</t>
        </is>
      </c>
      <c r="D12" s="5" t="inlineStr">
        <is>
          <t>Maddə 12.1, 12.4, 12.6</t>
        </is>
      </c>
      <c r="E12" s="5" t="inlineStr">
        <is>
          <t>Subyekt sorğularına ödənişsiz, 7 iş günü (zərurətdə +7) ərzində cavab verin; imtinanı 5 iş günü ərzində əsaslandırın.</t>
        </is>
      </c>
      <c r="F12" s="5" t="inlineStr">
        <is>
          <t>Answer data-subject requests free of charge within 7 working days (+7 if needed); justify refusals within 5 working days.</t>
        </is>
      </c>
      <c r="G12" s="5" t="inlineStr">
        <is>
          <t>12.1. Mülkiyyətçi və ya operator ödənişsiz olaraq subyektə onun haqqında məlumatları təqdim etməli, eləcə də bu Qanunun 7.1-ci maddəsində göstərilmiş hüquqlarını təmin etməlidir. […] 12.4. Mülkiyyətçi və ya operator subyektin verdiyi sorğuya daxil olduğu gündən ən geci 7 iş günü keçənədək cavab verməlidir, bununla bağlı üçüncü şəxsə müraciət etmək zərurəti yarandıqda sorğunun icra müddəti daha 7 iş günü uzadıla bilər. […] 12.6. Mülkiyyətçi və ya operator subyektin sorğusunun icrasından qanunvericiliklə müəyyən edilmiş əsaslarla imtina etdikdə subyektə sorğusunun alındığı gündən 5 iş günü keçənədək əsaslandırılmış cavab verməlidir.</t>
        </is>
      </c>
      <c r="H12" s="5" t="inlineStr">
        <is>
          <t>Fərdi məlumatların mülkiyyətçisi və operatoru (dövlət/yerli özünüidarə orqanları, hüquqi və fiziki şəxslər; şəxsi/ailə ehtiyacları istisna — 3.3)</t>
        </is>
      </c>
      <c r="I12" s="5" t="inlineStr">
        <is>
          <t>Legal</t>
        </is>
      </c>
      <c r="J12" s="5" t="inlineStr">
        <is>
          <t>on event: müraciətdən sonra 7 iş günü (üçüncü şəxsə müraciət zərurətində +7 iş günü); imtina — 5 iş günü</t>
        </is>
      </c>
      <c r="K12" s="6" t="inlineStr">
        <is>
          <t>Yüksək</t>
        </is>
      </c>
      <c r="L12" s="5" t="inlineStr">
        <is>
          <t>Rəqəmsal İnkişaf və Nəqliyyat Nazirliyi (qanunda: 'müvafiq icra hakimiyyəti orqanı'; konkret orqan Prezident fərmanları ilə müəyyən edilir) (yoxlanmalı)</t>
        </is>
      </c>
      <c r="M12" s="5" t="inlineStr">
        <is>
          <t>• Sorğuların qeydiyyatı jurnalı və SLA izləməsi
• Şəxsiyyətin yoxlanması (7.5: kağız ərizə + şəxsiyyət sənədi və ya gücləndirilmiş e-imza)
• Cavabda digər şəxslərin məlumatlarının çıxarılması (12.3)
• Standart cavab/imtina şablonları</t>
        </is>
      </c>
      <c r="N12" s="5" t="inlineStr">
        <is>
          <t>• Subyekt sorğularına baxılma proseduru</t>
        </is>
      </c>
      <c r="O12" s="5" t="inlineStr">
        <is>
          <t>https://e-qanun.az/frameworks/19/f_19675.html</t>
        </is>
      </c>
    </row>
    <row r="13">
      <c r="A13" s="5" t="inlineStr">
        <is>
          <t>PD-12</t>
        </is>
      </c>
      <c r="B13" s="5" t="inlineStr">
        <is>
          <t>Fərdi məlumatlar</t>
        </is>
      </c>
      <c r="C13" s="5" t="inlineStr">
        <is>
          <t>Fərdi məlumatlar haqqında Qanun</t>
        </is>
      </c>
      <c r="D13" s="5" t="inlineStr">
        <is>
          <t>Maddə 12.5</t>
        </is>
      </c>
      <c r="E13" s="5" t="inlineStr">
        <is>
          <t>Sorğu əsasında düzəliş/bloklama edin və məlumatı əvvəl ötürdüyünüz üçüncü şəxsləri 3 iş günü ərzində xəbərdar edin.</t>
        </is>
      </c>
      <c r="F13" s="5" t="inlineStr">
        <is>
          <t>Rectify/block data on request and notify third parties that previously received it within 3 working days.</t>
        </is>
      </c>
      <c r="G13" s="5" t="inlineStr">
        <is>
          <t>12.5. Mülkiyyətçi və ya operator subyektin sorğusu əsasında fərdi məlumatlarla əlaqədar zəruri tədbirlər (məlumatın dəqiqləşdirilməsi, məlumatın toplanılmasına və işlənilməsinə qadağan qoyulması və s.) görməli, həmin tədbirlər barəsində əvvəllər bu subyektə dair fərdi məlumatların ötürüldüyü üçüncü şəxsə 3 iş günü müddətində məlumat verməlidir.</t>
        </is>
      </c>
      <c r="H13" s="5" t="inlineStr">
        <is>
          <t>Fərdi məlumatların mülkiyyətçisi və operatoru (dövlət/yerli özünüidarə orqanları, hüquqi və fiziki şəxslər; şəxsi/ailə ehtiyacları istisna — 3.3)</t>
        </is>
      </c>
      <c r="I13" s="5" t="inlineStr">
        <is>
          <t>Legal</t>
        </is>
      </c>
      <c r="J13" s="5" t="inlineStr">
        <is>
          <t>on event: tədbir görüldükdən sonra 3 iş günü</t>
        </is>
      </c>
      <c r="K13" s="7" t="inlineStr">
        <is>
          <t>Orta</t>
        </is>
      </c>
      <c r="L13" s="5" t="inlineStr">
        <is>
          <t>Rəqəmsal İnkişaf və Nəqliyyat Nazirliyi (qanunda: 'müvafiq icra hakimiyyəti orqanı'; konkret orqan Prezident fərmanları ilə müəyyən edilir) (yoxlanmalı)</t>
        </is>
      </c>
      <c r="M13" s="5" t="inlineStr">
        <is>
          <t>• Məlumat ötürmələrinin (alıcıların) uçotu
• Alıcılara standart bildiriş şablonu
• Sorğu jurnalında bildiriş tarixinin qeydi</t>
        </is>
      </c>
      <c r="N13" s="5" t="inlineStr">
        <is>
          <t>• Subyekt sorğularına baxılma proseduru
• Üçüncü şəxslərə məlumat verilməsi və operatorların idarə edilməsi siyasəti</t>
        </is>
      </c>
      <c r="O13" s="5" t="inlineStr">
        <is>
          <t>https://e-qanun.az/frameworks/19/f_19675.html</t>
        </is>
      </c>
    </row>
    <row r="14">
      <c r="A14" s="5" t="inlineStr">
        <is>
          <t>PD-13</t>
        </is>
      </c>
      <c r="B14" s="5" t="inlineStr">
        <is>
          <t>Fərdi məlumatlar</t>
        </is>
      </c>
      <c r="C14" s="5" t="inlineStr">
        <is>
          <t>Fərdi məlumatlar haqqında Qanun</t>
        </is>
      </c>
      <c r="D14" s="5" t="inlineStr">
        <is>
          <t>Maddə 7.2, 7.3</t>
        </is>
      </c>
      <c r="E14" s="5" t="inlineStr">
        <is>
          <t>Yazılı etiraz alındıqda (məcburi emal istisna) emalı dərhal dayandırın; avtomatlaşdırılmış qərara etirazda alternativ üsula razılıq alın.</t>
        </is>
      </c>
      <c r="F14" s="5" t="inlineStr">
        <is>
          <t>On written objection (except mandatory processing) stop processing immediately; for automated decisions obtain consent to another method or stop.</t>
        </is>
      </c>
      <c r="G14" s="5" t="inlineStr">
        <is>
          <t>Subyektin etirazı mülkiyyətçiyə və ya operatora yazılı surətdə təqdim olunmalıdır. Subyektin etirazının əsaslandırılması tələb olunmur. Mülkiyyətçi və ya operator həmin etirazı aldıqda göstərilən fərdi məlumatların toplanılmasını və işlənilməsini dərhal dayandırmalıdır. […] Mülkiyyətçi və ya operator fərdi məlumatların informasiya texnologiyaları vasitəsilə işlənilməsinə qarşı etiraz aldıqda, subyektdən onun barəsində məlumatların digər üsulla işlənilməsinə razılıq almalı və ya fərdi məlumatların işlənilməsini təxirə salmadan dayandırmalıdır.</t>
        </is>
      </c>
      <c r="H14" s="5" t="inlineStr">
        <is>
          <t>Fərdi məlumatların mülkiyyətçisi və operatoru (dövlət/yerli özünüidarə orqanları, hüquqi və fiziki şəxslər; şəxsi/ailə ehtiyacları istisna — 3.3)</t>
        </is>
      </c>
      <c r="I14" s="5" t="inlineStr">
        <is>
          <t>Legal</t>
        </is>
      </c>
      <c r="J14" s="5" t="inlineStr">
        <is>
          <t>on event: dərhal / təxirə salınmadan</t>
        </is>
      </c>
      <c r="K14" s="6" t="inlineStr">
        <is>
          <t>Yüksək</t>
        </is>
      </c>
      <c r="L14" s="5" t="inlineStr">
        <is>
          <t>Rəqəmsal İnkişaf və Nəqliyyat Nazirliyi (qanunda: 'müvafiq icra hakimiyyəti orqanı'; konkret orqan Prezident fərmanları ilə müəyyən edilir) (yoxlanmalı)</t>
        </is>
      </c>
      <c r="M14" s="5" t="inlineStr">
        <is>
          <t>• Etirazların qəbulu və sistemlərdə bloklama bayrağı
• Avtomatlaşdırılmış qərar qəbulu hallarının inventarı
• Manual baxış (human review) alternativi</t>
        </is>
      </c>
      <c r="N14" s="5" t="inlineStr">
        <is>
          <t>• Subyekt sorğularına baxılma proseduru
• Razılığın idarə edilməsi proseduru</t>
        </is>
      </c>
      <c r="O14" s="5" t="inlineStr">
        <is>
          <t>https://e-qanun.az/frameworks/19/f_19675.html</t>
        </is>
      </c>
    </row>
    <row r="15">
      <c r="A15" s="5" t="inlineStr">
        <is>
          <t>PD-14</t>
        </is>
      </c>
      <c r="B15" s="5" t="inlineStr">
        <is>
          <t>Fərdi məlumatlar</t>
        </is>
      </c>
      <c r="C15" s="5" t="inlineStr">
        <is>
          <t>Fərdi məlumatlar haqqında Qanun</t>
        </is>
      </c>
      <c r="D15" s="5" t="inlineStr">
        <is>
          <t>Maddə 13.1, 13.3</t>
        </is>
      </c>
      <c r="E15" s="5" t="inlineStr">
        <is>
          <t>Fərdi məlumatları üçüncü şəxslərə yalnız yazılı razılıqla (13.2 istisnaları ilə) verin; razılıq geri çağırıldıqda verilməni dərhal dayandırın.</t>
        </is>
      </c>
      <c r="F15" s="5" t="inlineStr">
        <is>
          <t>Disclose personal data to third parties only with written consent (Art. 13.2 exceptions); stop immediately upon withdrawal.</t>
        </is>
      </c>
      <c r="G15" s="5" t="inlineStr">
        <is>
          <t>13.1. Bu Qanunun 8.3-cü maddəsində nəzərdə tutulmuş hallar istisna olmaqla, fərdi məlumatların üçüncü şəxslər tərəfindən mülkiyyətçiyə və ya operatora, eləcə də onlar tərəfindən fərdi məlumatların istənilən üçüncü şəxsə verilməsinə yalnız subyektin yazılı (o cümlədən Elektron Hökumət İnformasiya Sistemi üzərindən) razılığı ilə yol verilir. […] Subyekt tərəfindən fərdi məlumatların verilməsinə dair razılığın geri çağırılması mülkiyyətçiyə, operatora və üçüncü şəxslərə məlum olduğu andan onlar həmin məlumatların verilməsini dərhal dayandırmalıdırlar.</t>
        </is>
      </c>
      <c r="H15" s="5" t="inlineStr">
        <is>
          <t>Fərdi məlumatların mülkiyyətçisi və operatoru (dövlət/yerli özünüidarə orqanları, hüquqi və fiziki şəxslər; şəxsi/ailə ehtiyacları istisna — 3.3)</t>
        </is>
      </c>
      <c r="I15" s="5" t="inlineStr">
        <is>
          <t>Legal</t>
        </is>
      </c>
      <c r="J15" s="5" t="inlineStr">
        <is>
          <t>on event (hər ötürmədən əvvəl); geri çağırmada — dərhal</t>
        </is>
      </c>
      <c r="K15" s="6" t="inlineStr">
        <is>
          <t>Yüksək</t>
        </is>
      </c>
      <c r="L15" s="5" t="inlineStr">
        <is>
          <t>Rəqəmsal İnkişaf və Nəqliyyat Nazirliyi (qanunda: 'müvafiq icra hakimiyyəti orqanı'; konkret orqan Prezident fərmanları ilə müəyyən edilir) (yoxlanmalı)</t>
        </is>
      </c>
      <c r="M15" s="5" t="inlineStr">
        <is>
          <t>• Məlumat paylaşımı təsdiq proseduru
• Paylaşım müqavilələri reyestri
• Razılıq geri çağırıldıqda ötürmələrin avtomatik dayandırılması</t>
        </is>
      </c>
      <c r="N15" s="5" t="inlineStr">
        <is>
          <t>• Üçüncü şəxslərə məlumat verilməsi və operatorların idarə edilməsi siyasəti
• Razılığın idarə edilməsi proseduru</t>
        </is>
      </c>
      <c r="O15" s="5" t="inlineStr">
        <is>
          <t>https://e-qanun.az/frameworks/19/f_19675.html</t>
        </is>
      </c>
    </row>
    <row r="16">
      <c r="A16" s="5" t="inlineStr">
        <is>
          <t>PD-15</t>
        </is>
      </c>
      <c r="B16" s="5" t="inlineStr">
        <is>
          <t>Fərdi məlumatlar</t>
        </is>
      </c>
      <c r="C16" s="5" t="inlineStr">
        <is>
          <t>Fərdi məlumatlar haqqında Qanun</t>
        </is>
      </c>
      <c r="D16" s="5" t="inlineStr">
        <is>
          <t>Maddə 14.2, 14.3, 14.4</t>
        </is>
      </c>
      <c r="E16" s="5" t="inlineStr">
        <is>
          <t>Xaricə ötürmədən əvvəl alıcı ölkənin mühafizə səviyyəsini qiymətləndirin; qeyri-adekvatdırsa razılıq alın; ötürmənin təhlükəsizliyini təmin edin.</t>
        </is>
      </c>
      <c r="F16" s="5" t="inlineStr">
        <is>
          <t>Before transfers abroad assess the recipient country's protection level; if inadequate obtain consent; secure the transfer.</t>
        </is>
      </c>
      <c r="G16" s="5" t="inlineStr">
        <is>
          <t>14.2. Fərdi məlumatların transsərhəd ötürülməsi aşağıdakı hallarda qadağan edilir: 14.2.1. Azərbaycan Respublikasının milli təhlükəsizliyi üçün təhdid yaratdıqda; 14.2.2. fərdi məlumatların ötürüldüyü ölkənin qanunvericiliyi həmin məlumatların Azərbaycan Respublikasının qanunvericiliyi ilə müəyyən edilmiş səviyyədə hüquqi mühafizəsini təmin etmədikdə. 14.3. Subyektin fərdi məlumatların transsərhəd ötürülməsinə razılıq verdiyi, habelə fərdi məlumatların ötürülməsinin subyektin həyat və sağlamlığının qorunması üçün zəruri olduğu hallarda fərdi məlumatların transsərhəd ötürülməsi onların hüquqi mühafizəsi səviyyəsindən asılı olmayaraq həyata keçirilə bilər. 14.4. Fərdi məlumatların transsərhəd ötürülməsi zamanı bu məlumatların təhlükəsizliyi mülkiyyətçi və ya operator tərəfindən təmin edilir.</t>
        </is>
      </c>
      <c r="H16" s="5" t="inlineStr">
        <is>
          <t>Fərdi məlumatların mülkiyyətçisi və operatoru (dövlət/yerli özünüidarə orqanları, hüquqi və fiziki şəxslər; şəxsi/ailə ehtiyacları istisna — 3.3)</t>
        </is>
      </c>
      <c r="I16" s="5" t="inlineStr">
        <is>
          <t>Legal</t>
        </is>
      </c>
      <c r="J16" s="5" t="inlineStr">
        <is>
          <t>on event (hər yeni transsərhəd ötürmə / xarici bulud xidməti)</t>
        </is>
      </c>
      <c r="K16" s="6" t="inlineStr">
        <is>
          <t>Yüksək</t>
        </is>
      </c>
      <c r="L16" s="5" t="inlineStr">
        <is>
          <t>Rəqəmsal İnkişaf və Nəqliyyat Nazirliyi (qanunda: 'müvafiq icra hakimiyyəti orqanı'; konkret orqan Prezident fərmanları ilə müəyyən edilir) (yoxlanmalı)</t>
        </is>
      </c>
      <c r="M16" s="5" t="inlineStr">
        <is>
          <t>• Transsərhəd ötürmələr reyestri (o cümlədən bulud/SaaS provayderləri)
• Ölkə adekvatlıq qiymətləndirməsi
• Transsərhəd ötürmə üçün ayrıca razılıq
• Ötürmədə şifrələmə və müqavilə öhdəlikləri</t>
        </is>
      </c>
      <c r="N16" s="5" t="inlineStr">
        <is>
          <t>• Transsərhəd ötürmə proseduru
• İnformasiya təhlükəsizliyi siyasəti</t>
        </is>
      </c>
      <c r="O16" s="5" t="inlineStr">
        <is>
          <t>https://e-qanun.az/frameworks/19/f_19675.html</t>
        </is>
      </c>
    </row>
    <row r="17">
      <c r="A17" s="5" t="inlineStr">
        <is>
          <t>PD-16</t>
        </is>
      </c>
      <c r="B17" s="5" t="inlineStr">
        <is>
          <t>Fərdi məlumatlar</t>
        </is>
      </c>
      <c r="C17" s="5" t="inlineStr">
        <is>
          <t>Fərdi məlumatlar haqqında Qanun</t>
        </is>
      </c>
      <c r="D17" s="5" t="inlineStr">
        <is>
          <t>Maddə 15.1, 15.2, 15.4, 15.5</t>
        </is>
      </c>
      <c r="E17" s="5" t="inlineStr">
        <is>
          <t>Fərdi məlumatların informasiya sistemini emaldan əvvəl dövlət qeydiyyatına alın; müraciət məlumatları dəyişdikdə 3 iş günü ərzində bildirin.</t>
        </is>
      </c>
      <c r="F17" s="5" t="inlineStr">
        <is>
          <t>Register personal-data information systems with the authority before processing; report changes to filed details within 3 working days.</t>
        </is>
      </c>
      <c r="G17" s="5" t="inlineStr">
        <is>
          <t>15.1. Fərdi məlumatların informasiya sistemləri, o cümlədən bu Qanunun qüvvəyə minməsinə qədər mövcud olan informasiya sistemləri müvafiq icra hakimiyyəti orqanında dövlət qeydiyyatından keçməlidir. […] 15.2. Bu Qanunun 3.2-ci maddəsində nəzərdə tutulmuş hallar istisna olmaqla, fərdi məlumatların informasiya sistemini dövlət qeydiyyatından keçirmədən fərdi məlumatların toplanılmasına və işlənilməsinə yol verilmir. […] 15.4. Fərdi məlumatların informasiya sisteminin dövlət qeydiyyatı mülkiyyətçinin yazılı müraciəti əsasında 1 ay müddətində həyata keçirilir. […] 15.5. Fərdi məlumatların informasiya sisteminin dövlət qeydiyyatından keçirilməsi haqqında müraciətdəki məlumatlarda dəyişiklik olduqda bu barədə 3 iş günü müddətində müvafiq icra hakimiyyəti orqanına yazılı surətdə bildirilməlidir.</t>
        </is>
      </c>
      <c r="H17" s="5" t="inlineStr">
        <is>
          <t>Fərdi məlumatların informasiya sisteminin mülkiyyətçisi (15.3 istisnaları: dövlət sirri, yalnız işçilər/iş ərazisinə buraxılış üçün sistemlər, orqanın müəyyən etdiyi həddən aşağı sistemlər)</t>
        </is>
      </c>
      <c r="I17" s="5" t="inlineStr">
        <is>
          <t>Legal</t>
        </is>
      </c>
      <c r="J17" s="5" t="inlineStr">
        <is>
          <t>one-off (emala başlamazdan əvvəl; qeydiyyat 1 ay çəkir) + on event: dəyişiklikdən sonra 3 iş günü</t>
        </is>
      </c>
      <c r="K17" s="6" t="inlineStr">
        <is>
          <t>Yüksək</t>
        </is>
      </c>
      <c r="L17" s="5" t="inlineStr">
        <is>
          <t>Rəqəmsal İnkişaf və Nəqliyyat Nazirliyi (qanunda: 'müvafiq icra hakimiyyəti orqanı'; konkret orqan Prezident fərmanları ilə müəyyən edilir) (yoxlanmalı)</t>
        </is>
      </c>
      <c r="M17" s="5" t="inlineStr">
        <is>
          <t>• İnformasiya sistemləri inventarı və 15.3 istisnalarına uyğunluq qiymətləndirməsi
• Qeydiyyat müraciəti üçün 15.4.1–15.4.13 məlumat paketi
• Dəyişikliklərin idarə edilməsi prosesində 'qeydiyyat təsiri' yoxlaması</t>
        </is>
      </c>
      <c r="N17" s="5" t="inlineStr">
        <is>
          <t>• İnformasiya sistemlərinin qeydiyyatı proseduru
• Emal fəaliyyətlərinin reyestri proseduru</t>
        </is>
      </c>
      <c r="O17" s="5" t="inlineStr">
        <is>
          <t>https://e-qanun.az/frameworks/19/f_19675.html</t>
        </is>
      </c>
    </row>
    <row r="18">
      <c r="A18" s="5" t="inlineStr">
        <is>
          <t>PD-17</t>
        </is>
      </c>
      <c r="B18" s="5" t="inlineStr">
        <is>
          <t>Fərdi məlumatlar</t>
        </is>
      </c>
      <c r="C18" s="5" t="inlineStr">
        <is>
          <t>Fərdi məlumatlar haqqında Qanun</t>
        </is>
      </c>
      <c r="D18" s="5" t="inlineStr">
        <is>
          <t>Maddə 9.12</t>
        </is>
      </c>
      <c r="E18" s="5" t="inlineStr">
        <is>
          <t>Fərdi məlumatlarla əməliyyatlar, sorğular, ərizələr və sistem idarəetməsi üzrə nəzarət-audit jurnalları aparın.</t>
        </is>
      </c>
      <c r="F18" s="5" t="inlineStr">
        <is>
          <t>Keep control/audit logs of personal-data operations, requests, applications and system administration.</t>
        </is>
      </c>
      <c r="G18" s="5" t="inlineStr">
        <is>
          <t>9.12. İnformasiya sistemlərində və ehtiyatlarında fərdi məlumatların toplanılması, işlənilməsi, sorğuların verilməsi və icrası, ərizələrin qeydiyyatının və baxılmasının nəticələri, habelə informasiya sistemlərinin idarə olunması və mühafizəsi ilə bağlı əməliyyatlar barədə qeydlərin müvafiq nəzarət-audit jurnallarında toplanılması mülkiyyətçi və ya operator tərəfindən təmin olunur.</t>
        </is>
      </c>
      <c r="H18" s="5" t="inlineStr">
        <is>
          <t>Fərdi məlumatların mülkiyyətçisi və operatoru (dövlət/yerli özünüidarə orqanları, hüquqi və fiziki şəxslər; şəxsi/ailə ehtiyacları istisna — 3.3)</t>
        </is>
      </c>
      <c r="I18" s="5" t="inlineStr">
        <is>
          <t>Legal</t>
        </is>
      </c>
      <c r="J18" s="5" t="inlineStr">
        <is>
          <t>ongoing</t>
        </is>
      </c>
      <c r="K18" s="7" t="inlineStr">
        <is>
          <t>Orta</t>
        </is>
      </c>
      <c r="L18" s="5" t="inlineStr">
        <is>
          <t>Rəqəmsal İnkişaf və Nəqliyyat Nazirliyi (qanunda: 'müvafiq icra hakimiyyəti orqanı'; konkret orqan Prezident fərmanları ilə müəyyən edilir) (yoxlanmalı)</t>
        </is>
      </c>
      <c r="M18" s="5" t="inlineStr">
        <is>
          <t>• Mərkəzləşdirilmiş log idarəetməsi (SIEM)
• Logların dəyişdirilməyə qarşı qorunması
• Logların saxlanma müddəti və dövri baxış</t>
        </is>
      </c>
      <c r="N18" s="5" t="inlineStr">
        <is>
          <t>• Girişə nəzarət və audit jurnalı proseduru
• Subyekt sorğularına baxılma proseduru</t>
        </is>
      </c>
      <c r="O18" s="5" t="inlineStr">
        <is>
          <t>https://e-qanun.az/frameworks/19/f_19675.html</t>
        </is>
      </c>
    </row>
    <row r="19">
      <c r="A19" s="5" t="inlineStr">
        <is>
          <t>PD-18</t>
        </is>
      </c>
      <c r="B19" s="5" t="inlineStr">
        <is>
          <t>Fərdi məlumatlar</t>
        </is>
      </c>
      <c r="C19" s="5" t="inlineStr">
        <is>
          <t>Fərdi məlumatlar haqqında Qanun</t>
        </is>
      </c>
      <c r="D19" s="5" t="inlineStr">
        <is>
          <t>Maddə 9.9, 10.3</t>
        </is>
      </c>
      <c r="E19" s="5" t="inlineStr">
        <is>
          <t>Emalı operatora yalnız mühafizə şərtlərini əks etdirən yazılı müqavilə ilə həvalə edin.</t>
        </is>
      </c>
      <c r="F19" s="5" t="inlineStr">
        <is>
          <t>Outsource processing to an operator only under a written contract that ensures data protection.</t>
        </is>
      </c>
      <c r="G19" s="5" t="inlineStr">
        <is>
          <t>9.9. Mülkiyyətçi fərdi məlumatların toplanılmasını və işlənilməsini müqavilə əsasında, fərdi məlumatların mühafizəsinin təmin olunması şərtilə operatora həvalə etmək və ya özü operator kimi fəaliyyət göstərmək hüququna malikdir. […] 10.3. Operatorun vəzifələri bu Qanunla və Azərbaycan Respublikası qanunvericiliyinin tələblərinə uyğun olaraq operatorla mülkiyyətçi arasında bağlanmış müqavilənin şərtləri ilə müəyyən olunur.</t>
        </is>
      </c>
      <c r="H19" s="5" t="inlineStr">
        <is>
          <t>Mülkiyyətçi (emalı həvalə edən) və operator (müqavilə şərtlərini icra edən)</t>
        </is>
      </c>
      <c r="I19" s="5" t="inlineStr">
        <is>
          <t>Legal</t>
        </is>
      </c>
      <c r="J19" s="5" t="inlineStr">
        <is>
          <t>on event (operator cəlb edilərkən) + periodik nəzarət</t>
        </is>
      </c>
      <c r="K19" s="7" t="inlineStr">
        <is>
          <t>Orta</t>
        </is>
      </c>
      <c r="L19" s="5" t="inlineStr">
        <is>
          <t>Rəqəmsal İnkişaf və Nəqliyyat Nazirliyi (qanunda: 'müvafiq icra hakimiyyəti orqanı'; konkret orqan Prezident fərmanları ilə müəyyən edilir) (yoxlanmalı)</t>
        </is>
      </c>
      <c r="M19" s="5" t="inlineStr">
        <is>
          <t>• Standart məlumat emalı müqaviləsi (DPA) şablonu
• Operatorların due diligence yoxlaması
• Operatorlar reyestri və illik audit</t>
        </is>
      </c>
      <c r="N19" s="5" t="inlineStr">
        <is>
          <t>• Üçüncü şəxslərə məlumat verilməsi və operatorların idarə edilməsi siyasəti</t>
        </is>
      </c>
      <c r="O19" s="5" t="inlineStr">
        <is>
          <t>https://e-qanun.az/frameworks/19/f_19675.html</t>
        </is>
      </c>
    </row>
    <row r="20">
      <c r="A20" s="5" t="inlineStr">
        <is>
          <t>PD-19</t>
        </is>
      </c>
      <c r="B20" s="5" t="inlineStr">
        <is>
          <t>Fərdi məlumatlar</t>
        </is>
      </c>
      <c r="C20" s="5" t="inlineStr">
        <is>
          <t>Fərdi məlumatlar haqqında Qanun</t>
        </is>
      </c>
      <c r="D20" s="5" t="inlineStr">
        <is>
          <t>Maddə 10.6</t>
        </is>
      </c>
      <c r="E20" s="5" t="inlineStr">
        <is>
          <t>Nəzarət orqanının tələblərini icra edin və icra barədə 7 iş günü ərzində məlumat verin.</t>
        </is>
      </c>
      <c r="F20" s="5" t="inlineStr">
        <is>
          <t>Comply with the supervisory authority's demands and report on compliance within 7 working days.</t>
        </is>
      </c>
      <c r="G20" s="5" t="inlineStr">
        <is>
          <t>10.6. Mülkiyyətçi müvafiq icra hakimiyyəti orqanının bu Qanunla ona həvalə edilmiş vəzifələrinin yerinə yetirilməsinə dair tələblərini icra etməli və bu barədə 7 iş günü müddətində ona məlumat verməlidir.</t>
        </is>
      </c>
      <c r="H20" s="5" t="inlineStr">
        <is>
          <t>Mülkiyyətçi</t>
        </is>
      </c>
      <c r="I20" s="5" t="inlineStr">
        <is>
          <t>Legal</t>
        </is>
      </c>
      <c r="J20" s="5" t="inlineStr">
        <is>
          <t>on event: tələbdən sonra 7 iş günü</t>
        </is>
      </c>
      <c r="K20" s="6" t="inlineStr">
        <is>
          <t>Yüksək</t>
        </is>
      </c>
      <c r="L20" s="5" t="inlineStr">
        <is>
          <t>Rəqəmsal İnkişaf və Nəqliyyat Nazirliyi (qanunda: 'müvafiq icra hakimiyyəti orqanı'; konkret orqan Prezident fərmanları ilə müəyyən edilir) (yoxlanmalı)</t>
        </is>
      </c>
      <c r="M20" s="5" t="inlineStr">
        <is>
          <t>• Tənzimləyici sorğuları üçün məsul şəxs/kontakt nöqtəsi
• Sorğuların qeydiyyatı və müddət nəzarəti
• Cavab şablonları və rəhbərlik təsdiqi</t>
        </is>
      </c>
      <c r="N20" s="5" t="inlineStr">
        <is>
          <t>• Tənzimləyici orqanla qarşılıqlı əlaqə proseduru</t>
        </is>
      </c>
      <c r="O20" s="5" t="inlineStr">
        <is>
          <t>https://e-qanun.az/frameworks/19/f_19675.html</t>
        </is>
      </c>
    </row>
    <row r="21">
      <c r="A21" s="5" t="inlineStr">
        <is>
          <t>PD-20</t>
        </is>
      </c>
      <c r="B21" s="5" t="inlineStr">
        <is>
          <t>Fərdi məlumatlar</t>
        </is>
      </c>
      <c r="C21" s="5" t="inlineStr">
        <is>
          <t>Fərdi məlumatlar haqqında Qanun</t>
        </is>
      </c>
      <c r="D21" s="5" t="inlineStr">
        <is>
          <t>Maddə 9.14</t>
        </is>
      </c>
      <c r="E21" s="5" t="inlineStr">
        <is>
          <t>Fərdi məlumat ehtiyatlarının formalaşdırılması, sistemlərin yaradılması və onlara xidmət üçün lisenziya tələbini yoxlayın və təmin edin.</t>
        </is>
      </c>
      <c r="F21" s="5" t="inlineStr">
        <is>
          <t>Verify and meet any licensing requirement for building personal-data resources/systems or providing services to them.</t>
        </is>
      </c>
      <c r="G21" s="5" t="inlineStr">
        <is>
          <t>9.14. Fərdi məlumatların informasiya ehtiyatlarının formalaşdırılması və informasiya sistemlərinin yaradılması, onlara xidmətlərin göstərilməsi yalnız Azərbaycan Respublikasının qanunvericiliyinə uyğun olaraq xüsusi razılıq (lisenziya) əsasında həyata keçirilir.</t>
        </is>
      </c>
      <c r="H21" s="5" t="inlineStr">
        <is>
          <t>Fərdi məlumatların informasiya ehtiyatlarını formalaşdıran, sistemləri yaradan və ya onlara xidmət göstərən şəxslər (o cümlədən IT podratçılar)</t>
        </is>
      </c>
      <c r="I21" s="5" t="inlineStr">
        <is>
          <t>Legal</t>
        </is>
      </c>
      <c r="J21" s="5" t="inlineStr">
        <is>
          <t>one-off (fəaliyyətə başlamazdan əvvəl) + müddətli yenilənmə</t>
        </is>
      </c>
      <c r="K21" s="7" t="inlineStr">
        <is>
          <t>Orta</t>
        </is>
      </c>
      <c r="L21" s="5" t="inlineStr">
        <is>
          <t>Rəqəmsal İnkişaf və Nəqliyyat Nazirliyi (qanunda: 'müvafiq icra hakimiyyəti orqanı'; konkret orqan Prezident fərmanları ilə müəyyən edilir) (yoxlanmalı)</t>
        </is>
      </c>
      <c r="M21" s="5" t="inlineStr">
        <is>
          <t>• Hüquqi baxış: 'Lisenziyalar və icazələr haqqında' Qanunun hazırkı siyahısına qarşı yoxlama
• Podratçılardan lisenziya sübutunun tələb edilməsi</t>
        </is>
      </c>
      <c r="N21" s="5" t="inlineStr">
        <is>
          <t>• İnformasiya sistemlərinin qeydiyyatı proseduru
• Üçüncü şəxslərə məlumat verilməsi və operatorların idarə edilməsi siyasəti</t>
        </is>
      </c>
      <c r="O21" s="5" t="inlineStr">
        <is>
          <t>https://e-qanun.az/frameworks/19/f_19675.html</t>
        </is>
      </c>
    </row>
    <row r="22">
      <c r="A22" s="5" t="inlineStr">
        <is>
          <t>INF-01</t>
        </is>
      </c>
      <c r="B22" s="5" t="inlineStr">
        <is>
          <t>Dövlət standartları</t>
        </is>
      </c>
      <c r="C22" s="5" t="inlineStr">
        <is>
          <t>İnformasiya Qanunu</t>
        </is>
      </c>
      <c r="D22" s="5" t="inlineStr">
        <is>
          <t>Maddə 13-2.1</t>
        </is>
      </c>
      <c r="E22" s="5" t="inlineStr">
        <is>
          <t>Veb-saytın qanunauyğun fəaliyyətini və dövlət dili normalarına riayəti təmin edin; buna görə şəxsən məsuliyyət daşıyırsınız.</t>
        </is>
      </c>
      <c r="F22" s="5" t="inlineStr">
        <is>
          <t>Ensure the lawful operation of the organisation's website(s), including compliance with state-language (Azerbaijani) norms; the owner is personally liable.</t>
        </is>
      </c>
      <c r="G22" s="5" t="inlineStr">
        <is>
          <t>İnternet informasiya ehtiyatının və onun domen adının sahibi həmin informasiya ehtiyatının qanunauyğun fəaliyyətini, o cümlədən dövlət dili normalarına riayət edilməsini təmin etməlidir və buna görə şəxsən məsuliyyət daşıyır.</t>
        </is>
      </c>
      <c r="H22" s="5" t="inlineStr">
        <is>
          <t>İnternet informasiya ehtiyatının (veb-sayt) və domen adının sahibi</t>
        </is>
      </c>
      <c r="I22" s="5" t="inlineStr">
        <is>
          <t>Legal</t>
        </is>
      </c>
      <c r="J22" s="5" t="inlineStr">
        <is>
          <t>Davamlı (continuous)</t>
        </is>
      </c>
      <c r="K22" s="7" t="inlineStr">
        <is>
          <t>Orta</t>
        </is>
      </c>
      <c r="L22" s="5" t="inlineStr">
        <is>
          <t>Rəqəmsal İnkişaf və Nəqliyyat Nazirliyi (Prezidentin 19.06.1998 № 729 Fərmanı, b. 2.3)</t>
        </is>
      </c>
      <c r="M22" s="5" t="inlineStr">
        <is>
          <t>• Veb-sayt məzmunu üçün hüquqi/redaksiya təsdiqi prosesi
• Azərbaycan dilində məzmun versiyası və dil yoxlaması
• Domen və sayt sahibliyinin reyestri (owner of record)</t>
        </is>
      </c>
      <c r="N22" s="5" t="inlineStr">
        <is>
          <t>• POL-WEB</t>
        </is>
      </c>
      <c r="O22" s="5" t="inlineStr">
        <is>
          <t>https://e-qanun.az/framework/3525</t>
        </is>
      </c>
    </row>
    <row r="23">
      <c r="A23" s="5" t="inlineStr">
        <is>
          <t>INF-02</t>
        </is>
      </c>
      <c r="B23" s="5" t="inlineStr">
        <is>
          <t>Dövlət standartları</t>
        </is>
      </c>
      <c r="C23" s="5" t="inlineStr">
        <is>
          <t>İnformasiya Qanunu</t>
        </is>
      </c>
      <c r="D23" s="5" t="inlineStr">
        <is>
          <t>Maddə 13-2.2</t>
        </is>
      </c>
      <c r="E23" s="5" t="inlineStr">
        <is>
          <t>Saytda sahibin adını, təşkilati-hüquqi formasını və e-poçt ünvanını aydın oxunan yerdə yerləşdirin.</t>
        </is>
      </c>
      <c r="F23" s="5" t="inlineStr">
        <is>
          <t>Publish the website/domain owner's name, legal form and e-mail address in a clearly legible place on the site.</t>
        </is>
      </c>
      <c r="G23" s="5" t="inlineStr">
        <is>
          <t>İnternet informasiya ehtiyatının və onun domen adının sahibi hüquqi şəxsdirsə adı, təşkilati-hüquqi forması, elektron poçt ünvanı, fiziki şəxsdirsə adı, soyadı və atasının adı və elektron poçt ünvanı həmin saytda aydın oxuna bilən yerdə və formada yerləşdirməlidir.</t>
        </is>
      </c>
      <c r="H23" s="5" t="inlineStr">
        <is>
          <t>Hüquqi şəxs olan veb-sayt və domen adı sahibi</t>
        </is>
      </c>
      <c r="I23" s="5" t="inlineStr">
        <is>
          <t>Legal</t>
        </is>
      </c>
      <c r="J23" s="5" t="inlineStr">
        <is>
          <t>Daimi; məlumat dəyişdikdə yeniləmə</t>
        </is>
      </c>
      <c r="K23" s="8" t="inlineStr">
        <is>
          <t>Aşağı</t>
        </is>
      </c>
      <c r="L23" s="5" t="inlineStr">
        <is>
          <t>Rəqəmsal İnkişaf və Nəqliyyat Nazirliyi (Prezidentin 19.06.1998 № 729 Fərmanı, b. 2.3)</t>
        </is>
      </c>
      <c r="M23" s="5" t="inlineStr">
        <is>
          <t>• Bütün korporativ saytlarda standart "Haqqımızda/Əlaqə" bloku
• Rüblük sayt inventarı və imprint yoxlaması</t>
        </is>
      </c>
      <c r="N23" s="5" t="inlineStr">
        <is>
          <t>• POL-WEB</t>
        </is>
      </c>
      <c r="O23" s="5" t="inlineStr">
        <is>
          <t>https://e-qanun.az/framework/3525</t>
        </is>
      </c>
    </row>
    <row r="24">
      <c r="A24" s="5" t="inlineStr">
        <is>
          <t>INF-03</t>
        </is>
      </c>
      <c r="B24" s="5" t="inlineStr">
        <is>
          <t>Dövlət standartları</t>
        </is>
      </c>
      <c r="C24" s="5" t="inlineStr">
        <is>
          <t>İnformasiya Qanunu</t>
        </is>
      </c>
      <c r="D24" s="5" t="inlineStr">
        <is>
          <t>Maddə 13-2.3, 13-2.4, 13-3.2</t>
        </is>
      </c>
      <c r="E24" s="5" t="inlineStr">
        <is>
          <t>Yayılması qadağan edilən informasiyanın yerləşdirilməsinə yol verməyin; aşkar edildikdə və ya xəbərdarlıqda dərhal (8 saat ərzində) götürün.</t>
        </is>
      </c>
      <c r="F24" s="5" t="inlineStr">
        <is>
          <t>Prevent publication of prohibited information (Art. 13-2.3 list); remove it or restrict access upon discovery or complaint, and within 8 hours of an official warning.</t>
        </is>
      </c>
      <c r="G24" s="5" t="inlineStr">
        <is>
          <t>13-2.3: «İnternet informasiya ehtiyatının və onun domen adının sahibi və ya informasiya-telekommunikasiya şəbəkəsinin istifadəçisi həmin informasiya ehtiyatında (informasiya-telekommunikasiya şəbəkəsində) aşağıdakı yayılması qadağan edilən informasiyanın yerləşdirilməsinə yol verməməlidir:» | 13-2.4: «İnternet informasiya ehtiyatının və onun domen adının sahibi həmin informasiya ehtiyatında və ya onun müvafiq hissəsində yayılması qadağan edilən informasiyanın olduğunu aşkar etdikdə və ya bu barədə ona müraciət daxil olduqda, belə informasiyanın informasiya ehtiyatından götürülməsini və ya həmin informasiya ehtiyatına və ya onun müvafiq hissəsinə müraciətin məhdudlaşdırılmasını təmin edir.» | 13-3.2: «Xəbərdarlıq edildiyi vaxtdan 8 saat ərzində yayılması qanunla qadağan edilən informasiya internet informasiya ehtiyatından götürülmədikdə və ya internet informasiya ehtiyatına və ya onun müvafiq hissəsinə müraciət məhdudlaşdırılmadıqda»</t>
        </is>
      </c>
      <c r="H24" s="5" t="inlineStr">
        <is>
          <t>Veb-sayt/domen sahibi, informasiya-telekommunikasiya şəbəkəsinin istifadəçisi (o cümlədən korporativ sosial şəbəkə hesabları)</t>
        </is>
      </c>
      <c r="I24" s="5" t="inlineStr">
        <is>
          <t>Legal</t>
        </is>
      </c>
      <c r="J24" s="5" t="inlineStr">
        <is>
          <t>Hadisə əsaslı (on discovery / on notice; ≤ 8 saat)</t>
        </is>
      </c>
      <c r="K24" s="6" t="inlineStr">
        <is>
          <t>Yüksək</t>
        </is>
      </c>
      <c r="L24" s="5" t="inlineStr">
        <is>
          <t>Rəqəmsal İnkişaf və Nəqliyyat Nazirliyi (Prezidentin 19.06.1998 № 729 Fərmanı, b. 2.3)</t>
        </is>
      </c>
      <c r="M24" s="5" t="inlineStr">
        <is>
          <t>• Notice-and-takedown proseduru və 24/7 əlaqə nöqtəsi
• İstifadəçi məzmununun moderasiyası (UGC)
• Rəsmi xəbərdarlıqların qeydiyyatı və SLA izlənməsi</t>
        </is>
      </c>
      <c r="N24" s="5" t="inlineStr">
        <is>
          <t>• POL-WEB
• POL-CONTENT</t>
        </is>
      </c>
      <c r="O24" s="5" t="inlineStr">
        <is>
          <t>https://e-qanun.az/framework/3525</t>
        </is>
      </c>
    </row>
    <row r="25">
      <c r="A25" s="5" t="inlineStr">
        <is>
          <t>INF-04</t>
        </is>
      </c>
      <c r="B25" s="5" t="inlineStr">
        <is>
          <t>Dövlət standartları</t>
        </is>
      </c>
      <c r="C25" s="5" t="inlineStr">
        <is>
          <t>İnformasiya Qanunu</t>
        </is>
      </c>
      <c r="D25" s="5" t="inlineStr">
        <is>
          <t>Maddə 13-2.6</t>
        </is>
      </c>
      <c r="E25" s="5" t="inlineStr">
        <is>
          <t>İnternet informasiya ehtiyatında informasiya məhsulunun uşaqlar arasında yayılmasını məhdudlaşdıran xəbərdarlıq mətnini yerləşdirin.</t>
        </is>
      </c>
      <c r="F25" s="5" t="inlineStr">
        <is>
          <t>Display a warning text restricting the distribution of the information product among children on internet information resources.</t>
        </is>
      </c>
      <c r="G25" s="5" t="inlineStr">
        <is>
          <t>internet informasiya ehtiyatlarında informasiya məhsulunun uşaqlar arasında yayılmasını məhdudlaşdıran xəbərdarlıq mətni əks olunmalıdır.</t>
        </is>
      </c>
      <c r="H25" s="5" t="inlineStr">
        <is>
          <t>Veb-sayt / internet informasiya ehtiyatı sahibi</t>
        </is>
      </c>
      <c r="I25" s="5" t="inlineStr">
        <is>
          <t>Legal</t>
        </is>
      </c>
      <c r="J25" s="5" t="inlineStr">
        <is>
          <t>Daimi</t>
        </is>
      </c>
      <c r="K25" s="8" t="inlineStr">
        <is>
          <t>Aşağı</t>
        </is>
      </c>
      <c r="L25" s="5" t="inlineStr">
        <is>
          <t>Rəqəmsal İnkişaf və Nəqliyyat Nazirliyi (Prezidentin 19.06.1998 № 729 Fərmanı, b. 2.3) (yoxlanmalı — uşaq informasiya təhlükəsizliyi üzrə nəzarət)</t>
        </is>
      </c>
      <c r="M25" s="5" t="inlineStr">
        <is>
          <t>• Sayt şablonuna yaş/xəbərdarlıq banneri
• Yeni məzmun buraxılışında yoxlama siyahısı</t>
        </is>
      </c>
      <c r="N25" s="5" t="inlineStr">
        <is>
          <t>• POL-WEB
• POL-CONTENT</t>
        </is>
      </c>
      <c r="O25" s="5" t="inlineStr">
        <is>
          <t>https://e-qanun.az/framework/3525</t>
        </is>
      </c>
    </row>
    <row r="26">
      <c r="A26" s="5" t="inlineStr">
        <is>
          <t>INF-05</t>
        </is>
      </c>
      <c r="B26" s="5" t="inlineStr">
        <is>
          <t>Dövlət standartları</t>
        </is>
      </c>
      <c r="C26" s="5" t="inlineStr">
        <is>
          <t>İnformasiya Qanunu</t>
        </is>
      </c>
      <c r="D26" s="5" t="inlineStr">
        <is>
          <t>Maddə 13-2.7 (387-VIIQD, 21.04.2026 ilə əlavə edilib)</t>
        </is>
      </c>
      <c r="E26" s="5" t="inlineStr">
        <is>
          <t>Kütləvi nümayiş olunan süni intellektlə hazırlanmış foto, video və audionu aydın görünən nişanla işarələyin.</t>
        </is>
      </c>
      <c r="F26" s="5" t="inlineStr">
        <is>
          <t>Clearly and visibly label AI-generated photo, video or audio material whenever it is publicly displayed.</t>
        </is>
      </c>
      <c r="G26" s="5" t="inlineStr">
        <is>
          <t>Süni intellekt texnologiyaları vasitəsilə hazırlanmış foto, video və ya audio materiallar kütləvi nümayiş etdirildikdə belə texnologiyalardan istifadə edilməklə hazırlandığını aydın şəkildə göstərən və asanlıqla görünən nişanlanma ilə təmin edilməlidir.</t>
        </is>
      </c>
      <c r="H26" s="5" t="inlineStr">
        <is>
          <t>Marketinq/kommunikasiya bölməsi; məzmun yerləşdirən istənilən təşkilat</t>
        </is>
      </c>
      <c r="I26" s="5" t="inlineStr">
        <is>
          <t>Legal</t>
        </is>
      </c>
      <c r="J26" s="5" t="inlineStr">
        <is>
          <t>Hər nəşrdə (per publication)</t>
        </is>
      </c>
      <c r="K26" s="7" t="inlineStr">
        <is>
          <t>Orta</t>
        </is>
      </c>
      <c r="L26" s="5" t="inlineStr">
        <is>
          <t>Rəqəmsal İnkişaf və Nəqliyyat Nazirliyi (Prezidentin 19.06.1998 № 729 Fərmanı, b. 2.3) (yoxlanmalı)</t>
        </is>
      </c>
      <c r="M26" s="5" t="inlineStr">
        <is>
          <t>• Generativ AI istifadəsi qeydiyyatı
• Avtomatik su nişanı / "AI ilə hazırlanıb" etiketi
• Nəşrdən əvvəl kommunikasiya təsdiqi</t>
        </is>
      </c>
      <c r="N26" s="5" t="inlineStr">
        <is>
          <t>• POL-AI
• POL-CONTENT</t>
        </is>
      </c>
      <c r="O26" s="5" t="inlineStr">
        <is>
          <t>https://e-qanun.az/framework/3525</t>
        </is>
      </c>
    </row>
    <row r="27">
      <c r="A27" s="5" t="inlineStr">
        <is>
          <t>INF-06</t>
        </is>
      </c>
      <c r="B27" s="5" t="inlineStr">
        <is>
          <t>Dövlət standartları</t>
        </is>
      </c>
      <c r="C27" s="5" t="inlineStr">
        <is>
          <t>İnformasiya Qanunu</t>
        </is>
      </c>
      <c r="D27" s="5" t="inlineStr">
        <is>
          <t>Maddə 10 (üçüncü hissə)</t>
        </is>
      </c>
      <c r="E27" s="5" t="inlineStr">
        <is>
          <t>Konfidensial informasiyanı yalnız qanunvericilikdə nəzərdə tutulmuş hallarda toplayın, işləyin, istifadə edin və yayın.</t>
        </is>
      </c>
      <c r="F27" s="5" t="inlineStr">
        <is>
          <t>Collect, process, use and disclose confidential information (commercial, professional secrets, personal data) only in cases provided for by law.</t>
        </is>
      </c>
      <c r="G27" s="5" t="inlineStr">
        <is>
          <t>Konfidensial informasiyanın toplanmasına, işlənməsinə, istifadəsinə və yayılmasına yalnız Azərbaycan Respublikasının qanunvericiliyində müəyyən edilmiş hallarda yol verilə bilər.</t>
        </is>
      </c>
      <c r="H27" s="5" t="inlineStr">
        <is>
          <t>Konfidensial informasiya emal edən bütün təşkilatlar</t>
        </is>
      </c>
      <c r="I27" s="5" t="inlineStr">
        <is>
          <t>Legal</t>
        </is>
      </c>
      <c r="J27" s="5" t="inlineStr">
        <is>
          <t>Davamlı</t>
        </is>
      </c>
      <c r="K27" s="6" t="inlineStr">
        <is>
          <t>Yüksək</t>
        </is>
      </c>
      <c r="L27" s="5" t="inlineStr">
        <is>
          <t>Sahə tənzimləyicisi; fərdi məlumatlar üzrə — "Fərdi məlumatlar haqqında" Qanunla müəyyən edilmiş orqan (yoxlanmalı)</t>
        </is>
      </c>
      <c r="M27" s="5" t="inlineStr">
        <is>
          <t>• Məlumat təsnifatı (açıq / konfidensial / dövlət sirri)
• Emal üçün hüquqi əsasların reyestri
• Məlumat paylaşma razılaşmaları</t>
        </is>
      </c>
      <c r="N27" s="5" t="inlineStr">
        <is>
          <t>• POL-CLASS
• POL-PRIV</t>
        </is>
      </c>
      <c r="O27" s="5" t="inlineStr">
        <is>
          <t>https://e-qanun.az/framework/3525</t>
        </is>
      </c>
    </row>
    <row r="28">
      <c r="A28" s="5" t="inlineStr">
        <is>
          <t>INF-07</t>
        </is>
      </c>
      <c r="B28" s="5" t="inlineStr">
        <is>
          <t>Dövlət standartları</t>
        </is>
      </c>
      <c r="C28" s="5" t="inlineStr">
        <is>
          <t>İnformasiya Qanunu</t>
        </is>
      </c>
      <c r="D28" s="5" t="inlineStr">
        <is>
          <t>Maddə 18 (birinci və ikinci hissələr)</t>
        </is>
      </c>
      <c r="E28" s="5" t="inlineStr">
        <is>
          <t>Ziyan vurula bilən sənədləşdirilmiş informasiyanı qoruyun və onun mühafizə rejimini daxili qaydalarla müəyyən edin.</t>
        </is>
      </c>
      <c r="F28" s="5" t="inlineStr">
        <is>
          <t>Protect any documented information whose unlawful handling could harm the owner, holder, user or others, and define its protection regime internally.</t>
        </is>
      </c>
      <c r="G28" s="5" t="inlineStr">
        <is>
          <t>Maddə 18, birinci hissə: «Barəsində qanunsuz əməliyyatlar və davranış nəticəsində mülkiyyətçiyə, sahibə, istifadəçiyə və ya başqa şəxslərə ziyan vurula bilən hər hansı sənədləşdirilmiş informasiya mühafizə olunmalıdır.» | Maddə 18, ikinci hissə: «İnformasiyanın mühafizə rejimi onun hüquqi rejimindən asılı olaraq “Dövlət sirri haqqında” Azərbaycan Respublikasının Qanunu ilə, bu Qanunla, “İnformasiya əldə etmək haqqında” Azərbaycan Respublikasının Qanunu ilə, digər normativ hüquqi aktlarla, habelə mülkiyyətçi tərəfindən müəyyən edilir.»</t>
        </is>
      </c>
      <c r="H28" s="5" t="inlineStr">
        <is>
          <t>İnformasiya ehtiyatlarının mülkiyyətçisi / sahibi</t>
        </is>
      </c>
      <c r="I28" s="5" t="inlineStr">
        <is>
          <t>Legal</t>
        </is>
      </c>
      <c r="J28" s="5" t="inlineStr">
        <is>
          <t>Davamlı; illik baxış</t>
        </is>
      </c>
      <c r="K28" s="6" t="inlineStr">
        <is>
          <t>Yüksək</t>
        </is>
      </c>
      <c r="L28" s="5" t="inlineStr">
        <is>
          <t>Sahə tənzimləyicisi (yoxlanmalı)</t>
        </is>
      </c>
      <c r="M28" s="5" t="inlineStr">
        <is>
          <t>• İnformasiya təhlükəsizliyi siyasəti və mühafizə rejimi
• Giriş nəzarəti və şifrələmə
• Məlumat itkisinin qarşısının alınması (DLP)</t>
        </is>
      </c>
      <c r="N28" s="5" t="inlineStr">
        <is>
          <t>• POL-ISP
• POL-CLASS</t>
        </is>
      </c>
      <c r="O28" s="5" t="inlineStr">
        <is>
          <t>https://e-qanun.az/framework/3525</t>
        </is>
      </c>
    </row>
    <row r="29">
      <c r="A29" s="5" t="inlineStr">
        <is>
          <t>INF-08</t>
        </is>
      </c>
      <c r="B29" s="5" t="inlineStr">
        <is>
          <t>Dövlət standartları</t>
        </is>
      </c>
      <c r="C29" s="5" t="inlineStr">
        <is>
          <t>İnformasiya Qanunu</t>
        </is>
      </c>
      <c r="D29" s="5" t="inlineStr">
        <is>
          <t>Maddə 16 (birinci hissə), Maddə 19 (ikinci hissə)</t>
        </is>
      </c>
      <c r="E29" s="5" t="inlineStr">
        <is>
          <t>Konfidensial informasiya emal edən informasiya sistemlərini və mühafizə vasitələrini müəyyən qaydada sertifikatlaşdırın.</t>
        </is>
      </c>
      <c r="F29" s="5" t="inlineStr">
        <is>
          <t>Have information systems (and their protection tools) that process confidential information certified in the prescribed manner; the owner bears liability for uncertified systems.</t>
        </is>
      </c>
      <c r="G29" s="5" t="inlineStr">
        <is>
          <t>Maddə 16: «Vətəndaşların və təşkilatların informasiya təminatı üçün nəzərdə tutulan informasiya sistemləri, verilənlər bazası və verilənlər bankı, konfidensial informasiyanın işlənməsini həyata keçirən dövlət orqanları, idarə, müəssisə və təşkilatların informasiya sistemləri, habelə bu sistemlərin mühafizə vasitələri müəyyənləşdirilmiş qaydada sertifikasiyalaşdırılmalıdır.» | Maddə 19: «Sertifikatlaşdırılmamış informasiya sistem və vasitələrdən istifadə olunması və xidmətlərin göstərilməsi ilə bağlı məsuliyyəti bu sistem və vasitələrin mülkiyyətçisi və ya sahibi, belə sistemlərdən əldə olunan informasiyadan istifadə üçün isə məsuliyyəti istifadəçi daşıyır.»</t>
        </is>
      </c>
      <c r="H29" s="5" t="inlineStr">
        <is>
          <t>Konfidensial informasiya emal edən təşkilatların informasiya sistemləri</t>
        </is>
      </c>
      <c r="I29" s="5" t="inlineStr">
        <is>
          <t>Regulatory</t>
        </is>
      </c>
      <c r="J29" s="5" t="inlineStr">
        <is>
          <t>Sistem istismara verilərkən və dəyişdikdə</t>
        </is>
      </c>
      <c r="K29" s="7" t="inlineStr">
        <is>
          <t>Orta</t>
        </is>
      </c>
      <c r="L29" s="5" t="inlineStr">
        <is>
          <t>Sertifikasiyanı təşkil edən orqan (yoxlanmalı — Fərman № 729 b.1 Nazirlər Kabinetinə tapşırıb)</t>
        </is>
      </c>
      <c r="M29" s="5" t="inlineStr">
        <is>
          <t>• Sistem inventarında sertifikat statusu sahəsi
• Satınalmada sertifikat tələbi
• Sertifikatsız sistemlər üçün risk qəbulu</t>
        </is>
      </c>
      <c r="N29" s="5" t="inlineStr">
        <is>
          <t>• POL-ASSET
• POL-PROC</t>
        </is>
      </c>
      <c r="O29" s="5" t="inlineStr">
        <is>
          <t>https://e-qanun.az/framework/3525</t>
        </is>
      </c>
    </row>
    <row r="30">
      <c r="A30" s="5" t="inlineStr">
        <is>
          <t>INF-09</t>
        </is>
      </c>
      <c r="B30" s="5" t="inlineStr">
        <is>
          <t>Dövlət standartları</t>
        </is>
      </c>
      <c r="C30" s="5" t="inlineStr">
        <is>
          <t>İnformasiya Qanunu</t>
        </is>
      </c>
      <c r="D30" s="5" t="inlineStr">
        <is>
          <t>Maddə 20-11.1 (454-VIIQD ilə əlavə edilib)</t>
        </is>
      </c>
      <c r="E30" s="5" t="inlineStr">
        <is>
          <t>İnformasiya infrastrukturunda risk qiymətləndirməsi və təhlükəsizlik auditləri aparın, aşkar edilən zəiflikləri aradan qaldırın.</t>
        </is>
      </c>
      <c r="F30" s="5" t="inlineStr">
        <is>
          <t>Ensure cybersecurity of your information infrastructure through risk assessments, security audits and remediation of identified weaknesses and gaps.</t>
        </is>
      </c>
      <c r="G30" s="5" t="inlineStr">
        <is>
          <t>İnformasiya infrastrukturunun kibertəhlükəsizliyi informasiya infrastrukturu subyekti tərəfindən informasiya infrastrukturu obyektinin kibertəhlükəsizliyində zəifliklərin, boşluqların və digər uyğunsuzluqların aşkar olunması məqsədilə risklərin qiymətləndirilməsi, təhlükəsizlik auditlərinin keçirilməsi və onların nəticələrinin aradan qaldırılması üzrə tədbirlərin görülməsi yolu ilə təmin edilir.</t>
        </is>
      </c>
      <c r="H30" s="5" t="inlineStr">
        <is>
          <t>İnformasiya infrastrukturu subyekti (informasiya sistemi/şəbəkəsi/sayt sahibi olan hər bir təşkilat)</t>
        </is>
      </c>
      <c r="I30" s="5" t="inlineStr">
        <is>
          <t>Legal</t>
        </is>
      </c>
      <c r="J30" s="5" t="inlineStr">
        <is>
          <t>Mütəmadi; ən azı illik tövsiyə olunur</t>
        </is>
      </c>
      <c r="K30" s="6" t="inlineStr">
        <is>
          <t>Yüksək</t>
        </is>
      </c>
      <c r="L30" s="5" t="inlineStr">
        <is>
          <t>Milli CERT — Milli Kibertəhlükəsizlik Agentliyi qismində Rəqəmsal İnkişaf və Nəqliyyat Nazirliyi (Fərman № 729, b. 2.9, 10.08.2026 № 761 Fərmanı ilə); maliyyə bazarı subyektləri üçün AMB koordinasiyası</t>
        </is>
      </c>
      <c r="M30" s="5" t="inlineStr">
        <is>
          <t>• İllik kiber risk qiymətləndirməsi
• Zəiflik skanı və penetrasiya testi
• Remediasiya planı və izlənməsi</t>
        </is>
      </c>
      <c r="N30" s="5" t="inlineStr">
        <is>
          <t>• POL-RISK
• POL-VULN
• POL-AUDIT</t>
        </is>
      </c>
      <c r="O30" s="5" t="inlineStr">
        <is>
          <t>https://e-qanun.az/framework/3525</t>
        </is>
      </c>
    </row>
    <row r="31">
      <c r="A31" s="5" t="inlineStr">
        <is>
          <t>INF-10</t>
        </is>
      </c>
      <c r="B31" s="5" t="inlineStr">
        <is>
          <t>Dövlət standartları</t>
        </is>
      </c>
      <c r="C31" s="5" t="inlineStr">
        <is>
          <t>İnformasiya Qanunu</t>
        </is>
      </c>
      <c r="D31" s="5" t="inlineStr">
        <is>
          <t>Maddə 20-11.2 (454-VIIQD)</t>
        </is>
      </c>
      <c r="E31" s="5" t="inlineStr">
        <is>
          <t>İnformasiya infrastrukturuna qarşı kiberinsident və kiberhücumları aşkarlandığı andan dərhal Milli CERT-ə bildirin.</t>
        </is>
      </c>
      <c r="F31" s="5" t="inlineStr">
        <is>
          <t>Report cyber-incidents and cyber-attacks against your information infrastructure to the National CERT immediately upon detection.</t>
        </is>
      </c>
      <c r="G31" s="5" t="inlineStr">
        <is>
          <t>İnformasiya infrastrukturu subyekti bu Qanunun 20-7.8-ci, 20-7.12-ci, 20-9.3-cü, 20-9.4-cü, 20-10.2-ci və 20-10.6-cı maddələrinin tələbləri nəzərə alınmaqla, informasiya infrastrukturu obyektlərinə qarşı yönəlmiş kiberinsident və kiberhücumlar barədə məlumatın onların aşkarlandığı andan dərhal sonra Milli CERT-ə təqdim olunmasını təmin etməlidir.</t>
        </is>
      </c>
      <c r="H31" s="5" t="inlineStr">
        <is>
          <t>İnformasiya infrastrukturu subyekti (KİI subyektləri məlumatı səlahiyyətli orqan vasitəsilə, maliyyə bazarı subyektləri AMB vasitəsilə ötürür)</t>
        </is>
      </c>
      <c r="I31" s="5" t="inlineStr">
        <is>
          <t>Legal</t>
        </is>
      </c>
      <c r="J31" s="5" t="inlineStr">
        <is>
          <t>Hadisə əsaslı — dərhal</t>
        </is>
      </c>
      <c r="K31" s="6" t="inlineStr">
        <is>
          <t>Yüksək</t>
        </is>
      </c>
      <c r="L31" s="5" t="inlineStr">
        <is>
          <t>Milli CERT — Milli Kibertəhlükəsizlik Agentliyi qismində Rəqəmsal İnkişaf və Nəqliyyat Nazirliyi (Fərman № 729, b. 2.9, 10.08.2026 № 761 Fərmanı ilə); maliyyə bazarı subyektləri üçün AMB koordinasiyası</t>
        </is>
      </c>
      <c r="M31" s="5" t="inlineStr">
        <is>
          <t>• İnsident bildiriş proseduru və Milli CERT əlaqə kanalı
• İnsident təsnifat matrisi
• Bildiriş vaxtlarının jurnalı</t>
        </is>
      </c>
      <c r="N31" s="5" t="inlineStr">
        <is>
          <t>• POL-IR</t>
        </is>
      </c>
      <c r="O31" s="5" t="inlineStr">
        <is>
          <t>https://e-qanun.az/framework/3525</t>
        </is>
      </c>
    </row>
    <row r="32">
      <c r="A32" s="5" t="inlineStr">
        <is>
          <t>INF-11</t>
        </is>
      </c>
      <c r="B32" s="5" t="inlineStr">
        <is>
          <t>Dövlət standartları</t>
        </is>
      </c>
      <c r="C32" s="5" t="inlineStr">
        <is>
          <t>İnformasiya Qanunu</t>
        </is>
      </c>
      <c r="D32" s="5" t="inlineStr">
        <is>
          <t>Maddə 20-10.9 (454-VIIQD)</t>
        </is>
      </c>
      <c r="E32" s="5" t="inlineStr">
        <is>
          <t>Milli CERT sorğularına 24 saat, rəqəmsal tədqiqat sorğularına 5 iş günü ərzində cavab verin.</t>
        </is>
      </c>
      <c r="F32" s="5" t="inlineStr">
        <is>
          <t>Answer National CERT requests on cybersecurity status/proactive research within 24 hours, and digital-forensics requests within 5 working days.</t>
        </is>
      </c>
      <c r="G32" s="5" t="inlineStr">
        <is>
          <t>CERT-lər, informasiya infrastrukturunun subyektləri, həmçinin ictimai əhəmiyyətli funksiyaları yerinə yetirən informasiya infrastrukturu subyektləri, o cümlədən internet provayderlər, host provayderlər və internet informasiya ehtiyatının sahibləri Milli CERT tərəfindən kibertəhlükəsizlik vəziyyətinin öyrənilməsi, proaktiv kibertəhlükəsizlik tədqiqatının aparılması məqsədilə göndərilən sorğuları 24 saat, rəqəmsal tədqiqatın aparılması ilə bağlı göndərilən sorğuları isə 5 iş günü ərzində cavablandırmalıdır.</t>
        </is>
      </c>
      <c r="H32" s="5" t="inlineStr">
        <is>
          <t>İnformasiya infrastrukturu subyektləri, internet/host provayderlər, internet informasiya ehtiyatı sahibləri, CERT-lər</t>
        </is>
      </c>
      <c r="I32" s="5" t="inlineStr">
        <is>
          <t>Regulatory</t>
        </is>
      </c>
      <c r="J32" s="5" t="inlineStr">
        <is>
          <t>Sorğu əsasında (24 saat / 5 iş günü)</t>
        </is>
      </c>
      <c r="K32" s="6" t="inlineStr">
        <is>
          <t>Yüksək</t>
        </is>
      </c>
      <c r="L32" s="5" t="inlineStr">
        <is>
          <t>Milli CERT — Milli Kibertəhlükəsizlik Agentliyi qismində Rəqəmsal İnkişaf və Nəqliyyat Nazirliyi (Fərman № 729, b. 2.9, 10.08.2026 № 761 Fərmanı ilə); maliyyə bazarı subyektləri üçün AMB koordinasiyası</t>
        </is>
      </c>
      <c r="M32" s="5" t="inlineStr">
        <is>
          <t>• Tənzimləyici sorğular üçün növbətçi əlaqə şəxsi
• Sorğu qeydiyyatı və SLA taymeri
• Hazır texniki məlumat paketləri (aktiv siyahısı, şəbəkə sxemi)</t>
        </is>
      </c>
      <c r="N32" s="5" t="inlineStr">
        <is>
          <t>• POL-IR
• POL-REGCOM</t>
        </is>
      </c>
      <c r="O32" s="5" t="inlineStr">
        <is>
          <t>https://e-qanun.az/framework/3525</t>
        </is>
      </c>
    </row>
    <row r="33">
      <c r="A33" s="5" t="inlineStr">
        <is>
          <t>INF-12</t>
        </is>
      </c>
      <c r="B33" s="5" t="inlineStr">
        <is>
          <t>Dövlət standartları</t>
        </is>
      </c>
      <c r="C33" s="5" t="inlineStr">
        <is>
          <t>İnformasiya Qanunu</t>
        </is>
      </c>
      <c r="D33" s="5" t="inlineStr">
        <is>
          <t>Maddə 20-10.5, 20-10.7 (454-VIIQD)</t>
        </is>
      </c>
      <c r="E33" s="5" t="inlineStr">
        <is>
          <t>Milli CERT-in aşkar etdiyi zəiflikləri müəyyən müddətdə aradan qaldırıb nəticəni bildirin; onun fəaliyyətinə şərait yaradın.</t>
        </is>
      </c>
      <c r="F33" s="5" t="inlineStr">
        <is>
          <t>Remediate vulnerabilities found in National CERT monitoring/audits within the set deadline, report results, and support National CERT response activities.</t>
        </is>
      </c>
      <c r="G33" s="5" t="inlineStr">
        <is>
          <t>20-10.5: «Həyata keçirilmiş monitorinqlər və auditlər nəticəsində aşkar edilmiş zəifliklərin, boşluqların və digər uyğunsuzluqların aradan qaldırılması ilə əlaqədar Milli CERT tərəfindən müəyyən edilmiş müddət ərzində CERT-lər, informasiya infrastrukturunun subyektləri, o cümlədən internet informasiya ehtiyatlarının sahibləri tərəfindən tədbirlər görülərək nəticəsi barədə Milli CERT-ə məlumat verilməlidir.» | 20-10.7: «CERT-lər və informasiya infrastrukturu subyektləri informasiya infrastrukturuna yönəlmiş kiberhücumlara qarşı cavab tədbirlərinin görülməsi, habelə kibertəhdidlərin və kiberinsidentlərin qarşısının alınması ilə bağlı Milli CERT-in həyata keçirdiyi fəaliyyətə zəruri şərait yaratmalı və dəstək verməlidirlər.»</t>
        </is>
      </c>
      <c r="H33" s="5" t="inlineStr">
        <is>
          <t>İnformasiya infrastrukturu subyektləri, o cümlədən internet informasiya ehtiyatlarının sahibləri</t>
        </is>
      </c>
      <c r="I33" s="5" t="inlineStr">
        <is>
          <t>Regulatory</t>
        </is>
      </c>
      <c r="J33" s="5" t="inlineStr">
        <is>
          <t>Hadisə əsaslı (Milli CERT müddəti)</t>
        </is>
      </c>
      <c r="K33" s="6" t="inlineStr">
        <is>
          <t>Yüksək</t>
        </is>
      </c>
      <c r="L33" s="5" t="inlineStr">
        <is>
          <t>Milli CERT — Milli Kibertəhlükəsizlik Agentliyi qismində Rəqəmsal İnkişaf və Nəqliyyat Nazirliyi (Fərman № 729, b. 2.9, 10.08.2026 № 761 Fərmanı ilə); maliyyə bazarı subyektləri üçün AMB koordinasiyası</t>
        </is>
      </c>
      <c r="M33" s="5" t="inlineStr">
        <is>
          <t>• Xarici audit tapıntıları üçün remediasiya reyestri
• Yamaq (patch) idarəetməsi SLA-ları
• Tənzimləyiciyə bağlanma hesabatı şablonu</t>
        </is>
      </c>
      <c r="N33" s="5" t="inlineStr">
        <is>
          <t>• POL-VULN
• POL-REGCOM</t>
        </is>
      </c>
      <c r="O33" s="5" t="inlineStr">
        <is>
          <t>https://e-qanun.az/framework/3525</t>
        </is>
      </c>
    </row>
    <row r="34">
      <c r="A34" s="5" t="inlineStr">
        <is>
          <t>INF-13</t>
        </is>
      </c>
      <c r="B34" s="5" t="inlineStr">
        <is>
          <t>Dövlət standartları</t>
        </is>
      </c>
      <c r="C34" s="5" t="inlineStr">
        <is>
          <t>İnformasiya Qanunu</t>
        </is>
      </c>
      <c r="D34" s="5" t="inlineStr">
        <is>
          <t>Maddə 20-10.4.5, 20-11.6 (454-VIIQD)</t>
        </is>
      </c>
      <c r="E34" s="5" t="inlineStr">
        <is>
          <t>Milli CERT-in kibertəhlükəsizlik göstərişlərini icra edin; “.az” domeni üçün icra edilməməsi qeydiyyatın xitamına səbəb ola bilər.</t>
        </is>
      </c>
      <c r="F34" s="5" t="inlineStr">
        <is>
          <t>Comply with National CERT cybersecurity instructions; for ".az" (non-gov.az) domains, non-compliance is a ground to terminate the domain registration/technical service.</t>
        </is>
      </c>
      <c r="G34" s="5" t="inlineStr">
        <is>
          <t>20-10.4.5: «kibertəhlükəsizliyin təmin edilməsi (kibertəhdidlər, kiberhücumlar və kiberinsidentlərin qarşısının alınması və nəticələrinin aradan qaldırılması) ilə əlaqədar informasiya infrastrukturu subyektlərinə, CERT-lərə, SOC-lara, internet provayderlərə və host provaydelərə göstərişlər vermək;» | 20-11.6: «Domen adı “az” (“gov.az” istisna olmaqla) ölkə kodlu yüksək səviyyəli domen zonasında yerləşən internet informasiya ehtiyatlarının sahibləri tərəfindən Milli CERT-in kibertəhlükəsizliyin təmin edilməsi (kibertəhdidlər, kiberhücumlar və kiberinsidentlərin qarşısının alınması və nəticələrinin aradan qaldırılması) ilə əlaqədar göstərişlərinin yerinə yetirilməməsi domen adının “az” ölkə kodlu yüksək səviyyəli domen zonasında olan qeydiyyatının xitamı, domen adına texniki xidmətin dayandırılması üçün əsasdır.»</t>
        </is>
      </c>
      <c r="H34" s="5" t="inlineStr">
        <is>
          <t>".az" domenli sayt sahibləri; informasiya infrastrukturu subyektləri, internet və host provayderlər</t>
        </is>
      </c>
      <c r="I34" s="5" t="inlineStr">
        <is>
          <t>Regulatory</t>
        </is>
      </c>
      <c r="J34" s="5" t="inlineStr">
        <is>
          <t>Göstəriş əsasında</t>
        </is>
      </c>
      <c r="K34" s="6" t="inlineStr">
        <is>
          <t>Yüksək</t>
        </is>
      </c>
      <c r="L34" s="5" t="inlineStr">
        <is>
          <t>Milli CERT — Milli Kibertəhlükəsizlik Agentliyi qismində Rəqəmsal İnkişaf və Nəqliyyat Nazirliyi (Fərman № 729, b. 2.9, 10.08.2026 № 761 Fərmanı ilə); maliyyə bazarı subyektləri üçün AMB koordinasiyası</t>
        </is>
      </c>
      <c r="M34" s="5" t="inlineStr">
        <is>
          <t>• Göstərişlərin qəbulu və icrası proseduru
• Domen portfelinin idarə edilməsi
• Hüquq departamentinin cəlb edilməsi</t>
        </is>
      </c>
      <c r="N34" s="5" t="inlineStr">
        <is>
          <t>• POL-REGCOM
• POL-WEB</t>
        </is>
      </c>
      <c r="O34" s="5" t="inlineStr">
        <is>
          <t>https://e-qanun.az/framework/3525</t>
        </is>
      </c>
    </row>
    <row r="35">
      <c r="A35" s="5" t="inlineStr">
        <is>
          <t>INF-14</t>
        </is>
      </c>
      <c r="B35" s="5" t="inlineStr">
        <is>
          <t>Dövlət standartları</t>
        </is>
      </c>
      <c r="C35" s="5" t="inlineStr">
        <is>
          <t>İnformasiya Qanunu</t>
        </is>
      </c>
      <c r="D35" s="5" t="inlineStr">
        <is>
          <t>Maddə 20-7.6, 20-8.2, 20-8.12 (454-VIIQD)</t>
        </is>
      </c>
      <c r="E35" s="5" t="inlineStr">
        <is>
          <t>CERT/SOC yaratdıqda və ya müqavilə ilə müəyyən etdikdə 10 iş günü ərzində reyestrə müraciət edin; reyestrsiz fəaliyyət göstərməyin.</t>
        </is>
      </c>
      <c r="F35" s="5" t="inlineStr">
        <is>
          <t>If you establish or contract a CERT/SOC, apply electronically for registry entry within 10 working days; it may not operate unregistered; notify changes within 5 working days.</t>
        </is>
      </c>
      <c r="G35" s="5" t="inlineStr">
        <is>
          <t>20-7.6: «Hər bir informasiya infrastrukturu subyekti tərəfindən CERT və ya SOC struktur bölmə kimi yaradıla və ya müqavilə əsasında rezident hüquqi şəxslər müəyyən edilə bilər.» | 20-8.2: «Qurumlar müvafiq CERT-i və SOC-u yaratdıqdan və ya müəyyən etdikdən sonra 10 (on) iş günü ərzində onların reyestrə daxil edilməsi üçün müvafiq icra hakimiyyəti orqanının müəyyən etdiyi orqana (quruma) elektron qaydada müraciət etməlidir. CERT-lər və SOC-lar reyestrə daxil edilmədən fəaliyyət göstərə bilməzlər.» | 20-8.12: «Reyestrə daxil edilən məlumatlarda dəyişikliklər baş verdikdə və ya CERT və SOC ləğv edildikdə, müvafiq icra hakimiyyəti orqanının müəyyən etdiyi orqana (quruma) 5 iş günü müddətində elektron qaydada məlumat verilir.»</t>
        </is>
      </c>
      <c r="H35" s="5" t="inlineStr">
        <is>
          <t>Daxili CERT/SOC yaradan və ya MSSP ilə müqavilə bağlayan qurumlar; CERT/SOC xidməti göstərən şirkətlər</t>
        </is>
      </c>
      <c r="I35" s="5" t="inlineStr">
        <is>
          <t>Regulatory</t>
        </is>
      </c>
      <c r="J35" s="5" t="inlineStr">
        <is>
          <t>Yaradılarkən; dəyişiklikdə 5 iş günü</t>
        </is>
      </c>
      <c r="K35" s="7" t="inlineStr">
        <is>
          <t>Orta</t>
        </is>
      </c>
      <c r="L35" s="5" t="inlineStr">
        <is>
          <t>Milli Kibertəhlükəsizlik Agentliyi qismində Rəqəmsal İnkişaf və Nəqliyyat Nazirliyi (CERT/SOC reyestri; Fərman № 729, b. 2.9)</t>
        </is>
      </c>
      <c r="M35" s="5" t="inlineStr">
        <is>
          <t>• CERT/SOC xidmət müqavilələrində reyestr statusu şərti
• Reyestr məlumatlarının dəyişiklik nəzarəti
• 20-8.4/20-8.5 minimal tələblərinə uyğunluq yoxlaması</t>
        </is>
      </c>
      <c r="N35" s="5" t="inlineStr">
        <is>
          <t>• POL-IR
• POL-TPRM</t>
        </is>
      </c>
      <c r="O35" s="5" t="inlineStr">
        <is>
          <t>https://e-qanun.az/framework/3525</t>
        </is>
      </c>
    </row>
    <row r="36">
      <c r="A36" s="5" t="inlineStr">
        <is>
          <t>ES-01</t>
        </is>
      </c>
      <c r="B36" s="5" t="inlineStr">
        <is>
          <t>Elektron imza</t>
        </is>
      </c>
      <c r="C36" s="5" t="inlineStr">
        <is>
          <t>Elektron İmza Qanunu</t>
        </is>
      </c>
      <c r="D36" s="5" t="inlineStr">
        <is>
          <t>Maddə 5.5</t>
        </is>
      </c>
      <c r="E36" s="5" t="inlineStr">
        <is>
          <t>Sertifikatsız elektron imzadan istifadə edərkən qarşı tərəfi əvvəlcədən xəbərdar edin.</t>
        </is>
      </c>
      <c r="F36" s="5" t="inlineStr">
        <is>
          <t>Inform the counterparty when you use an electronic signature that has no certificate.</t>
        </is>
      </c>
      <c r="G36" s="5" t="inlineStr">
        <is>
          <t>İmza sahibi sertifikatı olmayan elektron imzadan istifadə edərkən qarşı tərəfi xəbərdar etməlidir.</t>
        </is>
      </c>
      <c r="H36" s="5" t="inlineStr">
        <is>
          <t>Elektron imza istifadə edən əməkdaşlar / şirkət</t>
        </is>
      </c>
      <c r="I36" s="5" t="inlineStr">
        <is>
          <t>Legal</t>
        </is>
      </c>
      <c r="J36" s="5" t="inlineStr">
        <is>
          <t>Hər istifadədə</t>
        </is>
      </c>
      <c r="K36" s="8" t="inlineStr">
        <is>
          <t>Aşağı</t>
        </is>
      </c>
      <c r="L36" s="5" t="inlineStr">
        <is>
          <t>Rəqəmsal İnkişaf və Nəqliyyat Nazirliyi (Prezidentin 26.05.2004 № 65 Fərmanı, b. 2.3); texniki təhlükəsizlik monitorinqi — RİNN və DTX (b. 2.5)</t>
        </is>
      </c>
      <c r="M36" s="5" t="inlineStr">
        <is>
          <t>• E-imza növlərinin icazəli istifadə matrisi
• Müqavilə şablonlarında e-imza bəndi</t>
        </is>
      </c>
      <c r="N36" s="5" t="inlineStr">
        <is>
          <t>• POL-ESIG</t>
        </is>
      </c>
      <c r="O36" s="5" t="inlineStr">
        <is>
          <t>https://e-qanun.az/framework/5916</t>
        </is>
      </c>
    </row>
    <row r="37">
      <c r="A37" s="5" t="inlineStr">
        <is>
          <t>ES-02</t>
        </is>
      </c>
      <c r="B37" s="5" t="inlineStr">
        <is>
          <t>Elektron imza</t>
        </is>
      </c>
      <c r="C37" s="5" t="inlineStr">
        <is>
          <t>Elektron İmza Qanunu</t>
        </is>
      </c>
      <c r="D37" s="5" t="inlineStr">
        <is>
          <t>Maddə 6.3</t>
        </is>
      </c>
      <c r="E37" s="5" t="inlineStr">
        <is>
          <t>Dövlət və bələdiyyə orqanlarına elektron göndərilən məlumatları gücləndirilmiş elektron imza ilə təsdiqləyin.</t>
        </is>
      </c>
      <c r="F37" s="5" t="inlineStr">
        <is>
          <t>Sign electronic messages sent to state or municipal bodies with an enhanced (advanced/qualified) electronic signature.</t>
        </is>
      </c>
      <c r="G37" s="5" t="inlineStr">
        <is>
          <t>Dövlət hakimiyyəti və ya yerli özünüidarəetmə orqanlarına fiziki və ya hüquqi şəxsin göndərdiyi məlumat bildirişi onun gücləndirilmiş imzası ilə təsdiqlənməlidir.</t>
        </is>
      </c>
      <c r="H37" s="5" t="inlineStr">
        <is>
          <t>Dövlət orqanları ilə elektron yazışma aparan şirkət (vergi, gömrük, e-gov müraciətləri)</t>
        </is>
      </c>
      <c r="I37" s="5" t="inlineStr">
        <is>
          <t>Legal</t>
        </is>
      </c>
      <c r="J37" s="5" t="inlineStr">
        <is>
          <t>Hər göndərişdə</t>
        </is>
      </c>
      <c r="K37" s="7" t="inlineStr">
        <is>
          <t>Orta</t>
        </is>
      </c>
      <c r="L37" s="5" t="inlineStr">
        <is>
          <t>Rəqəmsal İnkişaf və Nəqliyyat Nazirliyi (Prezidentin 26.05.2004 № 65 Fərmanı, b. 2.3); texniki təhlükəsizlik monitorinqi — RİNN və DTX (b. 2.5)</t>
        </is>
      </c>
      <c r="M37" s="5" t="inlineStr">
        <is>
          <t>• Səlahiyyətli imzaçılar reyestri və ASAN/SİMA/e-imza sertifikatları
• Dövlət portallarına göndərişdə imza yoxlaması</t>
        </is>
      </c>
      <c r="N37" s="5" t="inlineStr">
        <is>
          <t>• POL-ESIG
• POL-RECORDS</t>
        </is>
      </c>
      <c r="O37" s="5" t="inlineStr">
        <is>
          <t>https://e-qanun.az/framework/5916</t>
        </is>
      </c>
    </row>
    <row r="38">
      <c r="A38" s="5" t="inlineStr">
        <is>
          <t>ES-03</t>
        </is>
      </c>
      <c r="B38" s="5" t="inlineStr">
        <is>
          <t>Elektron imza</t>
        </is>
      </c>
      <c r="C38" s="5" t="inlineStr">
        <is>
          <t>Elektron İmza Qanunu</t>
        </is>
      </c>
      <c r="D38" s="5" t="inlineStr">
        <is>
          <t>Maddə 7.1, 7.2</t>
        </is>
      </c>
      <c r="E38" s="5" t="inlineStr">
        <is>
          <t>Korporativ sistemdə e-imzanın istifadə qaydasını, hüquq-vəzifələri və zərərin tənzimlənməsini daxili sənədlə müəyyən edin.</t>
        </is>
      </c>
      <c r="F38" s="5" t="inlineStr">
        <is>
          <t>In internal (corporate) information systems, regulate e-signature use by internal rules or contract, covering users' rights/duties and allocation of damage for misuse.</t>
        </is>
      </c>
      <c r="G38" s="5" t="inlineStr">
        <is>
          <t>7.1: «Korporativ informasiya sistemində elektron imzanın istifadə edilməsi sisteminin daxili normativ sənədləri və ya iştirakçılar arasındakı müqavilə ilə tənzimlənir.» | 7.2: «Korporativ informasiya sisteminin daxili normativ sənədlərində və ya iştirakçıları arasındakı müqavilədə imzanı istifadə edən şəxslərin hüquq və vəzifələri, habelə imzanın istifadə qaydalarına riayət edilməməsi nəticəsində iştirakçılara vurulmuş zərərin tənzimlənməsi barədə müddəalar nəzərdə tutulmalıdır.»</t>
        </is>
      </c>
      <c r="H38" s="5" t="inlineStr">
        <is>
          <t>Korporativ informasiya sistemi (EDMS, ERP, HR portal) mülkiyyətçisi</t>
        </is>
      </c>
      <c r="I38" s="5" t="inlineStr">
        <is>
          <t>Legal</t>
        </is>
      </c>
      <c r="J38" s="5" t="inlineStr">
        <is>
          <t>Sistem tətbiqində; illik baxış</t>
        </is>
      </c>
      <c r="K38" s="7" t="inlineStr">
        <is>
          <t>Orta</t>
        </is>
      </c>
      <c r="L38" s="5" t="inlineStr">
        <is>
          <t>Rəqəmsal İnkişaf və Nəqliyyat Nazirliyi (Prezidentin 26.05.2004 № 65 Fərmanı, b. 2.3); texniki təhlükəsizlik monitorinqi — RİNN və DTX (b. 2.5)</t>
        </is>
      </c>
      <c r="M38" s="5" t="inlineStr">
        <is>
          <t>• E-imza və EDMS istifadə qaydası (daxili normativ sənəd)
• İstifadəçi öhdəlik formu
• Rol əsaslı imza səlahiyyətləri</t>
        </is>
      </c>
      <c r="N38" s="5" t="inlineStr">
        <is>
          <t>• POL-ESIG
• POL-RECORDS</t>
        </is>
      </c>
      <c r="O38" s="5" t="inlineStr">
        <is>
          <t>https://e-qanun.az/framework/5916</t>
        </is>
      </c>
    </row>
    <row r="39">
      <c r="A39" s="5" t="inlineStr">
        <is>
          <t>ES-04</t>
        </is>
      </c>
      <c r="B39" s="5" t="inlineStr">
        <is>
          <t>Elektron imza</t>
        </is>
      </c>
      <c r="C39" s="5" t="inlineStr">
        <is>
          <t>Elektron İmza Qanunu</t>
        </is>
      </c>
      <c r="D39" s="5" t="inlineStr">
        <is>
          <t>Maddə 20.3</t>
        </is>
      </c>
      <c r="E39" s="5" t="inlineStr">
        <is>
          <t>İmza yaratma məlumatlarını və vasitələrini qoruyun; nəzarət itdikdə Mərkəzə dərhal bildirin, sertifikatı dayandırın.</t>
        </is>
      </c>
      <c r="F39" s="5" t="inlineStr">
        <is>
          <t>Protect signature-creation data and devices, never let others use them; on loss of control, notify the certification centre immediately and request suspension.</t>
        </is>
      </c>
      <c r="G39" s="5" t="inlineStr">
        <is>
          <t>İmza sahibi elektron imza yaratma məlumatlarının və imza vasitələrinin qorunmasına cavabdehdir və onların digər şəxs tərəfindən istifadəsinə yol verməməlidir. Bunlar üzərində nəzarət itirildikdə və ya buna təhlükə yarandıqda imza sahibi müvafiq Mərkəzə dərhal xəbər verməli və sertifikatın qüvvəsinin dayandırılmasını tələb etməlidir.</t>
        </is>
      </c>
      <c r="H39" s="5" t="inlineStr">
        <is>
          <t>İmza sahibləri (rəhbərlik, mühasiblər, səlahiyyətli əməkdaşlar)</t>
        </is>
      </c>
      <c r="I39" s="5" t="inlineStr">
        <is>
          <t>Legal</t>
        </is>
      </c>
      <c r="J39" s="5" t="inlineStr">
        <is>
          <t>Davamlı; itki halında dərhal</t>
        </is>
      </c>
      <c r="K39" s="6" t="inlineStr">
        <is>
          <t>Yüksək</t>
        </is>
      </c>
      <c r="L39" s="5" t="inlineStr">
        <is>
          <t>Rəqəmsal İnkişaf və Nəqliyyat Nazirliyi (Prezidentin 26.05.2004 № 65 Fərmanı, b. 2.3); texniki təhlükəsizlik monitorinqi — RİNN və DTX (b. 2.5)</t>
        </is>
      </c>
      <c r="M39" s="5" t="inlineStr">
        <is>
          <t>• Token/smart-kart uçotu və təhvil-təslim aktı
• PIN paylaşma qadağası
• İtki halında ləğv/dayandırma runbook-u
• İşdən çıxmada sertifikatın ləğvi</t>
        </is>
      </c>
      <c r="N39" s="5" t="inlineStr">
        <is>
          <t>• POL-ESIG
• POL-KEY</t>
        </is>
      </c>
      <c r="O39" s="5" t="inlineStr">
        <is>
          <t>https://e-qanun.az/framework/5916</t>
        </is>
      </c>
    </row>
    <row r="40">
      <c r="A40" s="5" t="inlineStr">
        <is>
          <t>ES-05</t>
        </is>
      </c>
      <c r="B40" s="5" t="inlineStr">
        <is>
          <t>Elektron imza</t>
        </is>
      </c>
      <c r="C40" s="5" t="inlineStr">
        <is>
          <t>Elektron İmza Qanunu</t>
        </is>
      </c>
      <c r="D40" s="5" t="inlineStr">
        <is>
          <t>Maddə 20.4, 20.5</t>
        </is>
      </c>
      <c r="E40" s="5" t="inlineStr">
        <is>
          <t>Gücləndirilmiş imzanı yalnız təkmil sertifikatdakı münasibətlər üçün istifadə edin; Mərkəzə dəqiq məlumat verin.</t>
        </is>
      </c>
      <c r="F40" s="5" t="inlineStr">
        <is>
          <t>Use an enhanced signature only within the usage scope stated in its qualified certificate, and give the certification centre complete and accurate information.</t>
        </is>
      </c>
      <c r="G40" s="5" t="inlineStr">
        <is>
          <t>20.4: «İmza sahibi gücləndirilmiş imzanın istifadəsi zamanı uyğun təkmil sertifikatda göstərilmiş istifadə münasibətlərinə riayət etməlidir.» | 20.5: «İmza sahibi müqavilə bağlamaq üçün Mərkəzlərə müraciət edərkən təqdim etdiyi məlumatların tamlığına və düzgünlüyünə görə məsuliyyət daşıyır.»</t>
        </is>
      </c>
      <c r="H40" s="5" t="inlineStr">
        <is>
          <t>İmza sahibləri və onlara sertifikat sifariş edən HR/IT</t>
        </is>
      </c>
      <c r="I40" s="5" t="inlineStr">
        <is>
          <t>Legal</t>
        </is>
      </c>
      <c r="J40" s="5" t="inlineStr">
        <is>
          <t>Hər istifadədə; sertifikat sifarişində</t>
        </is>
      </c>
      <c r="K40" s="7" t="inlineStr">
        <is>
          <t>Orta</t>
        </is>
      </c>
      <c r="L40" s="5" t="inlineStr">
        <is>
          <t>Rəqəmsal İnkişaf və Nəqliyyat Nazirliyi (Prezidentin 26.05.2004 № 65 Fərmanı, b. 2.3); texniki təhlükəsizlik monitorinqi — RİNN və DTX (b. 2.5)</t>
        </is>
      </c>
      <c r="M40" s="5" t="inlineStr">
        <is>
          <t>• Sertifikat istifadə sahələrinin xəritəsi
• Sertifikat sifarişində məlumatların ikili yoxlanması</t>
        </is>
      </c>
      <c r="N40" s="5" t="inlineStr">
        <is>
          <t>• POL-ESIG</t>
        </is>
      </c>
      <c r="O40" s="5" t="inlineStr">
        <is>
          <t>https://e-qanun.az/framework/5916</t>
        </is>
      </c>
    </row>
    <row r="41">
      <c r="A41" s="5" t="inlineStr">
        <is>
          <t>ES-06</t>
        </is>
      </c>
      <c r="B41" s="5" t="inlineStr">
        <is>
          <t>Elektron imza</t>
        </is>
      </c>
      <c r="C41" s="5" t="inlineStr">
        <is>
          <t>Elektron İmza Qanunu</t>
        </is>
      </c>
      <c r="D41" s="5" t="inlineStr">
        <is>
          <t>Maddə 26.3, 26.4</t>
        </is>
      </c>
      <c r="E41" s="5" t="inlineStr">
        <is>
          <t>Elektron sənəd dövriyyəsini kargüzarlıq standartlarına uyğun sənədləşdirin və daxili qaydalarla tənzimləyin.</t>
        </is>
      </c>
      <c r="F41" s="5" t="inlineStr">
        <is>
          <t>Document the electronic document flow according to the statutory record-keeping (office-work) standards and regulate it by internal rules in corporate systems.</t>
        </is>
      </c>
      <c r="G41" s="5" t="inlineStr">
        <is>
          <t>26.3: «Elektron sənəd dövriyyəsinin sənədləşdirilməsi Azərbaycan Respublikasının qanunvericiliyi ilə müəyyən edilmiş kargüzarlıq standartları və qaydaları əsasında həyata keçirilir.» | 26.4: «Korporativ informasiya sistemində elektron sənədin istifadəsi və dövriyyəsi sistemin daxili normativ sənədləri ilə tənzimlənir.»</t>
        </is>
      </c>
      <c r="H41" s="5" t="inlineStr">
        <is>
          <t>EDMS istifadə edən şirkət (kargüzarlıq, ümumi şöbə)</t>
        </is>
      </c>
      <c r="I41" s="5" t="inlineStr">
        <is>
          <t>Legal</t>
        </is>
      </c>
      <c r="J41" s="5" t="inlineStr">
        <is>
          <t>Davamlı</t>
        </is>
      </c>
      <c r="K41" s="8" t="inlineStr">
        <is>
          <t>Aşağı</t>
        </is>
      </c>
      <c r="L41" s="5" t="inlineStr">
        <is>
          <t>Nazirlər Kabineti (qaydalar) / kargüzarlıq standartları üzrə orqan (yoxlanmalı)</t>
        </is>
      </c>
      <c r="M41" s="5" t="inlineStr">
        <is>
          <t>• EDMS konfiqurasiyasında qeydiyyat rekvizitləri
• Kargüzarlıq təlimatı</t>
        </is>
      </c>
      <c r="N41" s="5" t="inlineStr">
        <is>
          <t>• POL-RECORDS</t>
        </is>
      </c>
      <c r="O41" s="5" t="inlineStr">
        <is>
          <t>https://e-qanun.az/framework/5916</t>
        </is>
      </c>
    </row>
    <row r="42">
      <c r="A42" s="5" t="inlineStr">
        <is>
          <t>ES-07</t>
        </is>
      </c>
      <c r="B42" s="5" t="inlineStr">
        <is>
          <t>Elektron imza</t>
        </is>
      </c>
      <c r="C42" s="5" t="inlineStr">
        <is>
          <t>Elektron İmza Qanunu</t>
        </is>
      </c>
      <c r="D42" s="5" t="inlineStr">
        <is>
          <t>Maddə 29.1 (29.1.1–29.1.4)</t>
        </is>
      </c>
      <c r="E42" s="5" t="inlineStr">
        <is>
          <t>Elektron sənədləri quruluşu, göndərən/alan və vaxtla, kağız sənəddən az olmayan müddətə saxlayın.</t>
        </is>
      </c>
      <c r="F42" s="5" t="inlineStr">
        <is>
          <t>Retain electronic documents preserving their structure, sender/recipient and send/receive time, readable for later reference, for no less than the paper retention period.</t>
        </is>
      </c>
      <c r="G42" s="5" t="inlineStr">
        <is>
          <t>29.1. Elektron sənədin saxlanılma qaydası aşağıdakı şərtlər nəzərə alınmaqla, Azərbaycan Respublikasının qanunvericiliyi ilə müəyyən edilir: 29.1.1. elektron sənəd yaradıldığı, ötürüldüyü və ya qəbul edildiyi quruluşu saxlasın; 29.1.2. elektron sənəd onu Göndərəni, Alanı, göndərilmə və alınma vaxtını müəyyən etməyə imkan versin; 29.1.3. elektron sənəddə olan informasiya növbəti istinad üçün istifadə edilə bilsin; 29.1.4. elektron sənədin saxlanılma müddəti kağız sənəd üçün nəzərdə tutulmuş müddətdən az olmasın;</t>
        </is>
      </c>
      <c r="H42" s="5" t="inlineStr">
        <is>
          <t>Elektron sənəd saxlayan bütün şirkətlər</t>
        </is>
      </c>
      <c r="I42" s="5" t="inlineStr">
        <is>
          <t>Legal</t>
        </is>
      </c>
      <c r="J42" s="5" t="inlineStr">
        <is>
          <t>Davamlı (saxlama müddəti boyu)</t>
        </is>
      </c>
      <c r="K42" s="7" t="inlineStr">
        <is>
          <t>Orta</t>
        </is>
      </c>
      <c r="L42" s="5" t="inlineStr">
        <is>
          <t>Arxiv/kargüzarlıq qanunvericiliyi üzrə orqan (yoxlanmalı)</t>
        </is>
      </c>
      <c r="M42" s="5" t="inlineStr">
        <is>
          <t>• Saxlama cədvəli (retention schedule) — kağızla eyni müddətlər
• Metadata (göndərən, alan, vaxt) qorunması
• WORM/arxiv saxlanması və bütövlük yoxlaması</t>
        </is>
      </c>
      <c r="N42" s="5" t="inlineStr">
        <is>
          <t>• POL-RECORDS
• POL-BACKUP</t>
        </is>
      </c>
      <c r="O42" s="5" t="inlineStr">
        <is>
          <t>https://e-qanun.az/framework/5916</t>
        </is>
      </c>
    </row>
    <row r="43">
      <c r="A43" s="5" t="inlineStr">
        <is>
          <t>ES-08</t>
        </is>
      </c>
      <c r="B43" s="5" t="inlineStr">
        <is>
          <t>Elektron imza</t>
        </is>
      </c>
      <c r="C43" s="5" t="inlineStr">
        <is>
          <t>Elektron İmza Qanunu</t>
        </is>
      </c>
      <c r="D43" s="5" t="inlineStr">
        <is>
          <t>Maddə 30.1–30.3</t>
        </is>
      </c>
      <c r="E43" s="5" t="inlineStr">
        <is>
          <t>Elektron sənəd dövriyyəsi sistemlərində qanunvericiliyə uyğun proqram-texniki mühafizə tədbirlərinin lazımi səviyyəsini təmin edin.</t>
        </is>
      </c>
      <c r="F43" s="5" t="inlineStr">
        <is>
          <t>Use legally compliant software/hardware to protect e-documents and, as system owner, ensure an adequate level of protection measures in e-document systems and networks.</t>
        </is>
      </c>
      <c r="G43" s="5" t="inlineStr">
        <is>
          <t>30.1: «Elektron sənəd dövriyyəsi zamanı elektron sənədin mühafizəsi məqsədilə Azərbaycan Respublikasının qanunvericiliyinə müvafiq olan proqram və texniki vasitələrdən istifadə edilməlidir.» | 30.2: «Elektron sənəd dövriyyəsində istifadə edilən informasiya sistem və şəbəkələrində mühafizə tədbirlərinin lazımi səviyyəsi bu sistem və şəbəkələrin mülkiyyətçisi tərəfindən təmin edilir.» | 30.3: «Korporativ informasiya sistemlərində elektron sənəd dövriyyəsinin mühafizə tədbirlərinin lazımi səviyyəsi Azərbaycan Respublikası qanunvericiliyinin tələblərinə müvafiq olaraq bu sistemin mülkiyyətçisi tərəfindən və ya iştirakçıların razılaşmasına uyğun təmin edilir.»</t>
        </is>
      </c>
      <c r="H43" s="5" t="inlineStr">
        <is>
          <t>EDMS və e-sənəd dövriyyəsi sistemlərinin mülkiyyətçisi</t>
        </is>
      </c>
      <c r="I43" s="5" t="inlineStr">
        <is>
          <t>Legal</t>
        </is>
      </c>
      <c r="J43" s="5" t="inlineStr">
        <is>
          <t>Davamlı; illik qiymətləndirmə</t>
        </is>
      </c>
      <c r="K43" s="7" t="inlineStr">
        <is>
          <t>Orta</t>
        </is>
      </c>
      <c r="L43" s="5" t="inlineStr">
        <is>
          <t>Rəqəmsal İnkişaf və Nəqliyyat Nazirliyi (Prezidentin 26.05.2004 № 65 Fərmanı, b. 2.3); texniki təhlükəsizlik monitorinqi — RİNN və DTX (b. 2.5) (yoxlanmalı)</t>
        </is>
      </c>
      <c r="M43" s="5" t="inlineStr">
        <is>
          <t>• EDMS üçün giriş nəzarəti və audit jurnalı
• Ötürmədə şifrələmə (TLS)
• İllik təhlükəsizlik qiymətləndirməsi</t>
        </is>
      </c>
      <c r="N43" s="5" t="inlineStr">
        <is>
          <t>• POL-ISP
• POL-ESIG</t>
        </is>
      </c>
      <c r="O43" s="5" t="inlineStr">
        <is>
          <t>https://e-qanun.az/framework/5916</t>
        </is>
      </c>
    </row>
    <row r="44">
      <c r="A44" s="5" t="inlineStr">
        <is>
          <t>ES-09</t>
        </is>
      </c>
      <c r="B44" s="5" t="inlineStr">
        <is>
          <t>Elektron imza</t>
        </is>
      </c>
      <c r="C44" s="5" t="inlineStr">
        <is>
          <t>Elektron İmza Qanunu</t>
        </is>
      </c>
      <c r="D44" s="5" t="inlineStr">
        <is>
          <t>Maddə 32.4, 32.5</t>
        </is>
      </c>
      <c r="E44" s="5" t="inlineStr">
        <is>
          <t>Konfidensial məzmunlu elektron sənədlərə girişi və mühafizə üsullarını müəyyən edin; buraxılan şəxslər mühafizəni təmin etsin.</t>
        </is>
      </c>
      <c r="F44" s="5" t="inlineStr">
        <is>
          <t>Define access to and protection methods for e-documents containing commercial, bank or other confidential information; authorised staff must apply the required protection.</t>
        </is>
      </c>
      <c r="G44" s="5" t="inlineStr">
        <is>
          <t>32.4: «Bu Qanunun 32.1-ci maddəsində nəzərdə tutulan elektron sənədlərlə işləməyə buraxılan şəxslər Azərbaycan Respublikasının qanunvericiliyinə müvafiq olaraq bu sənədlərin mühafizəsi üçün zəruri tədbirlərin görülməsini təmin etməlidirlər.» | 32.5: «Tərəflər arasında bağlanılmış müqaviləyə əsasən elektron sənəd dövriyyəsini həyata keçirən subyektlər konfidensial informasiya məzmunlu elektron sənədlərə müraciət və onların mühafizə üsullarını Azərbaycan Respublikasının qanunvericiliyinə uyğun olaraq özləri müəyyən edirlər.»</t>
        </is>
      </c>
      <c r="H44" s="5" t="inlineStr">
        <is>
          <t>Kommersiya/bank sirri və digər konfidensial məlumat olan e-sənədlərlə işləyən şirkət və əməkdaşlar</t>
        </is>
      </c>
      <c r="I44" s="5" t="inlineStr">
        <is>
          <t>Legal</t>
        </is>
      </c>
      <c r="J44" s="5" t="inlineStr">
        <is>
          <t>Davamlı</t>
        </is>
      </c>
      <c r="K44" s="6" t="inlineStr">
        <is>
          <t>Yüksək</t>
        </is>
      </c>
      <c r="L44" s="5" t="inlineStr">
        <is>
          <t>Sahə qanunvericiliyi (kommersiya/bank sirri) üzrə orqan (yoxlanmalı)</t>
        </is>
      </c>
      <c r="M44" s="5" t="inlineStr">
        <is>
          <t>• Konfidensial e-sənədlərin etiketlənməsi
• Ehtiyac əsasında giriş (need-to-know)
• Şifrələmə və DLP</t>
        </is>
      </c>
      <c r="N44" s="5" t="inlineStr">
        <is>
          <t>• POL-CLASS
• POL-ESIG</t>
        </is>
      </c>
      <c r="O44" s="5" t="inlineStr">
        <is>
          <t>https://e-qanun.az/framework/5916</t>
        </is>
      </c>
    </row>
    <row r="45">
      <c r="A45" s="5" t="inlineStr">
        <is>
          <t>ES-10</t>
        </is>
      </c>
      <c r="B45" s="5" t="inlineStr">
        <is>
          <t>Elektron imza</t>
        </is>
      </c>
      <c r="C45" s="5" t="inlineStr">
        <is>
          <t>Elektron İmza Qanunu</t>
        </is>
      </c>
      <c r="D45" s="5" t="inlineStr">
        <is>
          <t>Maddə 34.3, 36.2, 36.3</t>
        </is>
      </c>
      <c r="E45" s="5" t="inlineStr">
        <is>
          <t>Sertifikatlaşdırılmış e-imza və e-sənəd dövriyyəsi vasitələrindən istifadə edin; sistemin təhlükəsizliyinə və ekspertizasına cavabdehsiniz.</t>
        </is>
      </c>
      <c r="F45" s="5" t="inlineStr">
        <is>
          <t>Use certified e-signature and e-document-flow tools; the IS owner is liable for system security and required expertise, users for uncertified tools.</t>
        </is>
      </c>
      <c r="G45" s="5" t="inlineStr">
        <is>
          <t>34.3: «İstifadə edilən elektron imza və elektron sənəd dövriyyəsi vasitələri sertifikatlaşdırma haqqında Azərbaycan Respublikasının qanunvericiliyinə müvafiq qaydada sertifikatlaşdırılır.» | 36.2: «Sertifikatlaşdırılmamış elektron imza və elektron sənəd dövriyyəsi vasitələrindən istifadəyə görə istifadəçilər fərdi məsuliyyət daşıyırlar.» | 36.3: «İnformasiya sisteminin fəaliyyətinin təhlükəsizliyinin təmin edilməsinə, müəyyən edilmiş qaydada ekspertiza keçirilməsinə bu sistemin mülkiyyətçisi məsuliyyət daşıyır.»</t>
        </is>
      </c>
      <c r="H45" s="5" t="inlineStr">
        <is>
          <t>İnformasiya sisteminin mülkiyyətçisi; e-imza vasitəsi istifadəçiləri</t>
        </is>
      </c>
      <c r="I45" s="5" t="inlineStr">
        <is>
          <t>Legal</t>
        </is>
      </c>
      <c r="J45" s="5" t="inlineStr">
        <is>
          <t>Satınalma və istismar zamanı</t>
        </is>
      </c>
      <c r="K45" s="7" t="inlineStr">
        <is>
          <t>Orta</t>
        </is>
      </c>
      <c r="L45" s="5" t="inlineStr">
        <is>
          <t>Rəqəmsal İnkişaf və Nəqliyyat Nazirliyi (Prezidentin 26.05.2004 № 65 Fərmanı, b. 2.3); texniki təhlükəsizlik monitorinqi — RİNN və DTX (b. 2.5)</t>
        </is>
      </c>
      <c r="M45" s="5" t="inlineStr">
        <is>
          <t>• E-imza/EDMS vasitələrinin sertifikat statusunun yoxlanması
• Təsdiqlənmiş proqram təminatı siyahısı</t>
        </is>
      </c>
      <c r="N45" s="5" t="inlineStr">
        <is>
          <t>• POL-PROC
• POL-ESIG</t>
        </is>
      </c>
      <c r="O45" s="5" t="inlineStr">
        <is>
          <t>https://e-qanun.az/framework/5916</t>
        </is>
      </c>
    </row>
    <row r="46">
      <c r="A46" s="5" t="inlineStr">
        <is>
          <t>ES-11</t>
        </is>
      </c>
      <c r="B46" s="5" t="inlineStr">
        <is>
          <t>Elektron imza</t>
        </is>
      </c>
      <c r="C46" s="5" t="inlineStr">
        <is>
          <t>Elektron İmza Qanunu</t>
        </is>
      </c>
      <c r="D46" s="5" t="inlineStr">
        <is>
          <t>Maddə 9.1, 17.3.8, 18.3</t>
        </is>
      </c>
      <c r="E46" s="5" t="inlineStr">
        <is>
          <t>Sertifikat xidmətləri mərkəzi kimi fəaliyyətdən 30 gün əvvəl qeydiyyatdan keçin; hər il audit keçirib nəticəni 30 gündə təqdim edin.</t>
        </is>
      </c>
      <c r="F46" s="5" t="inlineStr">
        <is>
          <t>Certification service centres: register 30 days before starting; perform an annual IS security audit and submit results to the authority within 30 days.</t>
        </is>
      </c>
      <c r="G46" s="5" t="inlineStr">
        <is>
          <t>9.1: «Mərkəz Azərbaycan Respublikasında fəaliyyətə başlamazdan 30 gün əvvəl müvafiq icra hakimiyyəti orqanına məlumat verməli və qeydiyyatdan keçməlidir.» | 17.3.8: «fəaliyyətə başladığı müddət nəzərə alınmaqla, hər il informasiya sisteminin təhlükəsizlik auditinin keçirilməsini təmin edir və nəticəsini 30 gün ərzində müvafiq icra hakimiyyəti orqanına təqdim edir;» | 18.3: «Mərkəzlər fəaliyyətə başlamazdan əvvəl və qeydiyyatdan keçdikdən sonra hər il informasiya sisteminin auditini keçirməlidir, sistemdən etibarlı istifadəni təmin edən texnika və texnologiyalar tətbiq etməlidir.»</t>
        </is>
      </c>
      <c r="H46" s="5" t="inlineStr">
        <is>
          <t>Sertifikat xidmətləri mərkəzi (CA/TSP) — yalnız bu fəaliyyəti göstərən şirkətlər</t>
        </is>
      </c>
      <c r="I46" s="5" t="inlineStr">
        <is>
          <t>Regulatory</t>
        </is>
      </c>
      <c r="J46" s="5" t="inlineStr">
        <is>
          <t>Fəaliyyətə başlamazdan əvvəl; illik</t>
        </is>
      </c>
      <c r="K46" s="6" t="inlineStr">
        <is>
          <t>Yüksək</t>
        </is>
      </c>
      <c r="L46" s="5" t="inlineStr">
        <is>
          <t>Rəqəmsal İnkişaf və Nəqliyyat Nazirliyi (Prezidentin 26.05.2004 № 65 Fərmanı, b. 2.3); texniki təhlükəsizlik monitorinqi — RİNN və DTX (b. 2.5)</t>
        </is>
      </c>
      <c r="M46" s="5" t="inlineStr">
        <is>
          <t>• Akkreditasiya/qeydiyyat faylı
• İllik müstəqil İS auditi
• Audit nəticəsinin təqdimetmə təqvimi</t>
        </is>
      </c>
      <c r="N46" s="5" t="inlineStr">
        <is>
          <t>• POL-AUDIT
• POL-KEY</t>
        </is>
      </c>
      <c r="O46" s="5" t="inlineStr">
        <is>
          <t>https://e-qanun.az/framework/5916</t>
        </is>
      </c>
    </row>
    <row r="47">
      <c r="A47" s="5" t="inlineStr">
        <is>
          <t>ES-12</t>
        </is>
      </c>
      <c r="B47" s="5" t="inlineStr">
        <is>
          <t>Elektron imza</t>
        </is>
      </c>
      <c r="C47" s="5" t="inlineStr">
        <is>
          <t>Elektron İmza Qanunu</t>
        </is>
      </c>
      <c r="D47" s="5" t="inlineStr">
        <is>
          <t>Maddə 31.3, 31.4, 35.3 (həmçinin bax: 31.2)</t>
        </is>
      </c>
      <c r="E47" s="5" t="inlineStr">
        <is>
          <t>E-sənəd vasitəçisi kimi qeydiyyatdan keçin, vaxt/mənbə məlumatını 6 ay saxlayın, imza sahibi məlumatlarını qoruyun.</t>
        </is>
      </c>
      <c r="F47" s="5" t="inlineStr">
        <is>
          <t>E-document intermediaries: register with the authority, retain time/source data of handled e-documents for 6 months, and protect signer data.</t>
        </is>
      </c>
      <c r="G47" s="5" t="inlineStr">
        <is>
          <t>31.3: «Vasitəçi bu Qanunun 31.2.3-cü maddəsində qeyd olunan informasiyanın 6 ay müddətində saxlanılmasını təmin etməlidir.» | 31.4: «Vasitəçi fəaliyyət göstərmək üçün müvafiq icra hakimiyyəti orqanında qeydiyyatdan keçməlidir.» | 35.3: «Mərkəzlərin, Vasitəçilərin əməkdaşları və ya digər əlaqəli şəxslər fəaliyyətləri zamanı imza sahibi barəsində onlara bəlli olan məlumatları və imza yaratma məlumatlarını qorumağa borcludurlar.»</t>
        </is>
      </c>
      <c r="H47" s="5" t="inlineStr">
        <is>
          <t>Elektron sənəd dövriyyəsi vasitəçisi (EDI/e-invoice operatorları və s.)</t>
        </is>
      </c>
      <c r="I47" s="5" t="inlineStr">
        <is>
          <t>Regulatory</t>
        </is>
      </c>
      <c r="J47" s="5" t="inlineStr">
        <is>
          <t>Fəaliyyətə başlamazdan əvvəl; davamlı</t>
        </is>
      </c>
      <c r="K47" s="7" t="inlineStr">
        <is>
          <t>Orta</t>
        </is>
      </c>
      <c r="L47" s="5" t="inlineStr">
        <is>
          <t>Rəqəmsal İnkişaf və Nəqliyyat Nazirliyi (Prezidentin 26.05.2004 № 65 Fərmanı, b. 2.3); texniki təhlükəsizlik monitorinqi — RİNN və DTX (b. 2.5)</t>
        </is>
      </c>
      <c r="M47" s="5" t="inlineStr">
        <is>
          <t>• Qeydiyyat şəhadətnaməsi
• Mesaj jurnalının ≥6 ay saxlanması
• Əməkdaş məxfilik öhdəliyi</t>
        </is>
      </c>
      <c r="N47" s="5" t="inlineStr">
        <is>
          <t>• POL-RECORDS
• POL-PRIV</t>
        </is>
      </c>
      <c r="O47" s="5" t="inlineStr">
        <is>
          <t>https://e-qanun.az/framework/5916</t>
        </is>
      </c>
    </row>
    <row r="48">
      <c r="A48" s="5" t="inlineStr">
        <is>
          <t>KII-01</t>
        </is>
      </c>
      <c r="B48" s="5" t="inlineStr">
        <is>
          <t>KII təhlükəsizliyi</t>
        </is>
      </c>
      <c r="C48" s="5" t="inlineStr">
        <is>
          <t>KİI Qaydaları (NK № 229) / İnformasiya Qanunu V-I fəsil</t>
        </is>
      </c>
      <c r="D48" s="5" t="inlineStr">
        <is>
          <t>Qanun Maddə 20-2.2 (ikinci cümlə); Qaydalar b. 3.4 (həmçinin bax: b. 8.9.1)</t>
        </is>
      </c>
      <c r="E48" s="5" t="inlineStr">
        <is>
          <t>KİI obyektlərinin müəyyən edilməsi üçün səlahiyyətli orqanın sorğu etdiyi məlumatları 30 gün ərzində təqdim edin.</t>
        </is>
      </c>
      <c r="F48" s="5" t="inlineStr">
        <is>
          <t>Provide the information requested by the competent authority for identifying CII objects within 30 days.</t>
        </is>
      </c>
      <c r="G48" s="5" t="inlineStr">
        <is>
          <t>Qanun 20-2.2: «İnformasiya sistemlərinin, avtomatlaşdırılmış idarəetmə sistemlərinin və informasiya-kommunikasiya şəbəkələrinin sahibləri (istifadəçiləri) kritik informasiya infrastrukturu obyektlərinin müəyyən edilməsi məqsədilə səlahiyyətli orqan tərəfindən sorğu edilən məlumatları həmin orqana 30 gün müddətində təqdim etməlidirlər.» | Qaydalar 3.4: «İnformasiya sistemlərinin, avtomatlaşdırılmış idarəetmə sistemlərinin və informasiya-kommunikasiya şəbəkələrinin sahibləri (istifadəçiləri) kritik informasiya infrastrukturu obyektlərinin müəyyən edilməsi məqsədilə sorğu edilən məlumatları səlahiyyətli orqana 30 (otuz) gün müddətində təqdim etməlidirlər.»</t>
        </is>
      </c>
      <c r="H48" s="5" t="inlineStr">
        <is>
          <t>İnformasiya sistemi, avtomatlaşdırılmış idarəetmə sistemi və ya İKŞ sahibi (istifadəçisi) — hələ KİI subyekti olmasa belə</t>
        </is>
      </c>
      <c r="I48" s="5" t="inlineStr">
        <is>
          <t>Legal</t>
        </is>
      </c>
      <c r="J48" s="5" t="inlineStr">
        <is>
          <t>Sorğu əsasında — 30 gün</t>
        </is>
      </c>
      <c r="K48" s="6" t="inlineStr">
        <is>
          <t>Yüksək</t>
        </is>
      </c>
      <c r="L48" s="5" t="inlineStr">
        <is>
          <t>Dövlət Təhlükəsizliyi Xidməti (səlahiyyətli orqan; Milli kibermərkəz) — dövlət qurumlarına münasibətdə XRİTDX ilə birgə (Fərman № 1315, b. 1; Qaydalar b. 1.2)</t>
        </is>
      </c>
      <c r="M48" s="5" t="inlineStr">
        <is>
          <t>• Tənzimləyici sorğular reyestri
• Kritik sistemlər və biznes prosesləri inventarı (BIA)</t>
        </is>
      </c>
      <c r="N48" s="5" t="inlineStr">
        <is>
          <t>• POL-REGCOM
• POL-ASSET</t>
        </is>
      </c>
      <c r="O48" s="5" t="inlineStr">
        <is>
          <t>https://e-qanun.az/framework/54651 ; https://e-qanun.az/framework/3525</t>
        </is>
      </c>
    </row>
    <row r="49">
      <c r="A49" s="5" t="inlineStr">
        <is>
          <t>KII-02</t>
        </is>
      </c>
      <c r="B49" s="5" t="inlineStr">
        <is>
          <t>KII təhlükəsizliyi</t>
        </is>
      </c>
      <c r="C49" s="5" t="inlineStr">
        <is>
          <t>KİI Qaydaları (NK № 229) / İnformasiya Qanunu V-I fəsil</t>
        </is>
      </c>
      <c r="D49" s="5" t="inlineStr">
        <is>
          <t>Qaydalar b. 10.1</t>
        </is>
      </c>
      <c r="E49" s="5" t="inlineStr">
        <is>
          <t>Yeni və ya yenilənən sistemlərin layihələndirilməsində KİI meyarlarına düşüb-düşmədiyini müəyyən edib səlahiyyətli orqana bildirin.</t>
        </is>
      </c>
      <c r="F49" s="5" t="inlineStr">
        <is>
          <t>At the design stage of new or changed systems/networks, determine whether their failure could cause Art. 20-2.1 consequences and inform the competent authority.</t>
        </is>
      </c>
      <c r="G49" s="5" t="inlineStr">
        <is>
          <t>Bu Qaydalar qüvvəyə mindikdən sonra yaradılan və ya yenilənən (dəyişikliklər aparılan) informasiya sistemlərinin, avtomatlaşdırılmış idarəetmə sistemlərinin və ya informasiya-kommunikasiya şəbəkələrinin funksionallığının pozulmasının Qanunun 20-2.1-ci maddəsində göstərilən nəticələrə səbəb ola bilməsi həmin sistem və şəbəkələrin layihələndirilməsi mərhələsində onların sahibləri (istifadəçiləri) tərəfindən müəyyən edilir və bu barədə səlahiyyətli orqana məlumat verilir.</t>
        </is>
      </c>
      <c r="H49" s="5" t="inlineStr">
        <is>
          <t>Enerji, nəqliyyat, maliyyə, səhiyyə, İT, telekom, su, ekologiya, dövlət idarəçiliyi sahələrində sistem sahibləri</t>
        </is>
      </c>
      <c r="I49" s="5" t="inlineStr">
        <is>
          <t>Regulatory</t>
        </is>
      </c>
      <c r="J49" s="5" t="inlineStr">
        <is>
          <t>Hər yeni/yenilənən sistem layihəsində</t>
        </is>
      </c>
      <c r="K49" s="7" t="inlineStr">
        <is>
          <t>Orta</t>
        </is>
      </c>
      <c r="L49" s="5" t="inlineStr">
        <is>
          <t>Dövlət Təhlükəsizliyi Xidməti (səlahiyyətli orqan; Milli kibermərkəz) — dövlət qurumlarına münasibətdə XRİTDX ilə birgə (Fərman № 1315, b. 1; Qaydalar b. 1.2)</t>
        </is>
      </c>
      <c r="M49" s="5" t="inlineStr">
        <is>
          <t>• Layihə (SDLC) mərhələsində KİI kritiklik qiymətləndirməsi
• Arxitektura komitəsində təhlükəsizlik nəzarət nöqtəsi</t>
        </is>
      </c>
      <c r="N49" s="5" t="inlineStr">
        <is>
          <t>• POL-SDLC
• POL-RISK</t>
        </is>
      </c>
      <c r="O49" s="5" t="inlineStr">
        <is>
          <t>https://e-qanun.az/framework/54651</t>
        </is>
      </c>
    </row>
    <row r="50">
      <c r="A50" s="5" t="inlineStr">
        <is>
          <t>KII-03</t>
        </is>
      </c>
      <c r="B50" s="5" t="inlineStr">
        <is>
          <t>KII təhlükəsizliyi</t>
        </is>
      </c>
      <c r="C50" s="5" t="inlineStr">
        <is>
          <t>KİI Qaydaları (NK № 229) / İnformasiya Qanunu V-I fəsil</t>
        </is>
      </c>
      <c r="D50" s="5" t="inlineStr">
        <is>
          <t>Qanun Maddə 20-3.1; Qaydalar b. 7.2 (həmçinin bax: Qanun 20-3.2, Qaydalar 7.1, 8.9.3)</t>
        </is>
      </c>
      <c r="E50" s="5" t="inlineStr">
        <is>
          <t>KİI üçün informasiya təhlükəsizliyini idarəetmə sistemi yaradın, fəaliyyətini təmin edin, tərkibini Reyestrdə yerləşdirin.</t>
        </is>
      </c>
      <c r="F50" s="5" t="inlineStr">
        <is>
          <t>Establish and operate an information security management system (ISMS) for your CII; define its composition and procedures and place them in the CII Registry.</t>
        </is>
      </c>
      <c r="G50" s="5" t="inlineStr">
        <is>
          <t>Qanun 20-3.1: «Kritik informasiya infrastrukturu subyektləri onlara məxsus olan kritik informasiya infrastrukturuna kibertəhdidlərin, kiberhücumların, kiberinsidentlərin, habelə bu əməllərin törədilməsinə cəhdlərin aşkarlanması, qarşısının alınması və zərərli nəticələrinin aradan qaldırılması məqsədilə müvafiq infrastrukturun informasiya təhlükəsizliyini idarəetmə sistemini təşkil etməli və onun fəaliyyətini təmin etməlidirlər.» | Qaydalar 7.2: «Kritik informasiya infrastrukturunun informasiya təhlükəsizliyini idarəetmə sisteminin tərkibi və fəaliyyət qaydası kritik informasiya infrastrukturunun təhlükəsizliyinə dair ümumi tələblər əsasında, kritik informasiya infrastrukturu subyektinin fəaliyyət xüsusiyyətləri nəzərə alınmaqla, onun tərəfindən müəyyən edilir və Reyestrdə yerləşdirilməsi təmin olunur.»</t>
        </is>
      </c>
      <c r="H50" s="5" t="inlineStr">
        <is>
          <t>KİI subyekti (siyahıya daxil edilmiş obyektlərin sahibi/istifadəçisi; mikro, kiçik və orta sahibkarlar istisna)</t>
        </is>
      </c>
      <c r="I50" s="5" t="inlineStr">
        <is>
          <t>Legal</t>
        </is>
      </c>
      <c r="J50" s="5" t="inlineStr">
        <is>
          <t>Davamlı; dəyişiklikdə Reyestr yenilənməsi</t>
        </is>
      </c>
      <c r="K50" s="6" t="inlineStr">
        <is>
          <t>Yüksək</t>
        </is>
      </c>
      <c r="L50" s="5" t="inlineStr">
        <is>
          <t>Dövlət Təhlükəsizliyi Xidməti (səlahiyyətli orqan; Milli kibermərkəz) — dövlət qurumlarına münasibətdə XRİTDX ilə birgə (Fərman № 1315, b. 1; Qaydalar b. 1.2)</t>
        </is>
      </c>
      <c r="M50" s="5" t="inlineStr">
        <is>
          <t>• ISO/IEC 27001 uyğun ISMS
• ISMS sənədlərinin Reyestrə yüklənməsi
• Rəhbərlik baxışı (management review)</t>
        </is>
      </c>
      <c r="N50" s="5" t="inlineStr">
        <is>
          <t>• POL-ISP
• POL-KII</t>
        </is>
      </c>
      <c r="O50" s="5" t="inlineStr">
        <is>
          <t>https://e-qanun.az/framework/54651 ; https://e-qanun.az/framework/3525</t>
        </is>
      </c>
    </row>
    <row r="51">
      <c r="A51" s="5" t="inlineStr">
        <is>
          <t>KII-04</t>
        </is>
      </c>
      <c r="B51" s="5" t="inlineStr">
        <is>
          <t>KII təhlükəsizliyi</t>
        </is>
      </c>
      <c r="C51" s="5" t="inlineStr">
        <is>
          <t>KİI Qaydaları (NK № 229) / İnformasiya Qanunu V-I fəsil</t>
        </is>
      </c>
      <c r="D51" s="5" t="inlineStr">
        <is>
          <t>Qanun Maddə 20-3.3; Qaydalar b. 7.5 (həmçinin bax: b. 8.9.6)</t>
        </is>
      </c>
      <c r="E51" s="5" t="inlineStr">
        <is>
          <t>KİI təhlükəsizliyi üzrə məsul şəxs təyin edin və onun məlumatlarını KİI Reyestrində yerləşdirin.</t>
        </is>
      </c>
      <c r="F51" s="5" t="inlineStr">
        <is>
          <t>Appoint a person responsible for CII security for liaison with the competent authority and record their details in the CII Registry.</t>
        </is>
      </c>
      <c r="G51" s="5" t="inlineStr">
        <is>
          <t>Qanun 20-3.3: «Kritik informasiya infrastrukturu subyekti səlahiyyətli orqanla qarşılıqlı əlaqələrin operativliyini təmin etmək məqsədilə kritik informasiya infrastrukturunun təhlükəsizliyi üzrə məsul şəxs təyin edir və bu barədə məlumatın kritik informasiya infrastrukturu obyektlərinin reyestrində yerləşdirilməsini təmin edir.» | Qaydalar 7.5: «Kritik informasiya infrastrukturu subyekti səlahiyyətli orqanla qarşılıqlı əlaqələrin operativliyini təmin etmək məqsədilə kritik informasiya infrastrukturunun təhlükəsizliyi üzrə məsul şəxs təyin edir və həmin şəxs barədə məlumatların Reyestrdə yerləşdirilməsini təmin edir.»</t>
        </is>
      </c>
      <c r="H51" s="5" t="inlineStr">
        <is>
          <t>KİI subyekti</t>
        </is>
      </c>
      <c r="I51" s="5" t="inlineStr">
        <is>
          <t>Legal</t>
        </is>
      </c>
      <c r="J51" s="5" t="inlineStr">
        <is>
          <t>Təyinatda və dəyişiklikdə</t>
        </is>
      </c>
      <c r="K51" s="7" t="inlineStr">
        <is>
          <t>Orta</t>
        </is>
      </c>
      <c r="L51" s="5" t="inlineStr">
        <is>
          <t>Dövlət Təhlükəsizliyi Xidməti (səlahiyyətli orqan; Milli kibermərkəz) — dövlət qurumlarına münasibətdə XRİTDX ilə birgə (Fərman № 1315, b. 1; Qaydalar b. 1.2)</t>
        </is>
      </c>
      <c r="M51" s="5" t="inlineStr">
        <is>
          <t>• Rəsmi təyinat əmri (CISO / KİI məsul şəxsi)
• Əvəzedici şəxs təyinatı
• Reyestr əlaqə məlumatlarının rüblük yoxlanması</t>
        </is>
      </c>
      <c r="N51" s="5" t="inlineStr">
        <is>
          <t>• POL-KII
• POL-ISP</t>
        </is>
      </c>
      <c r="O51" s="5" t="inlineStr">
        <is>
          <t>https://e-qanun.az/framework/54651 ; https://e-qanun.az/framework/3525</t>
        </is>
      </c>
    </row>
    <row r="52">
      <c r="A52" s="5" t="inlineStr">
        <is>
          <t>KII-05</t>
        </is>
      </c>
      <c r="B52" s="5" t="inlineStr">
        <is>
          <t>KII təhlükəsizliyi</t>
        </is>
      </c>
      <c r="C52" s="5" t="inlineStr">
        <is>
          <t>KİI Qaydaları (NK № 229) / İnformasiya Qanunu V-I fəsil</t>
        </is>
      </c>
      <c r="D52" s="5" t="inlineStr">
        <is>
          <t>Qanun Maddə 20-4.2; Qaydalar b. 10.2 (həmçinin bax: b. 5.1–5.3)</t>
        </is>
      </c>
      <c r="E52" s="5" t="inlineStr">
        <is>
          <t>KİI üzrə xüsusi təhlükəsizlik tələblərini müəyyən edin; siyahıya daxil edildikdən 2 ay ərzində Reyestrdə yerləşdirin.</t>
        </is>
      </c>
      <c r="F52" s="5" t="inlineStr">
        <is>
          <t>Define CII-specific security requirements and place them in the Registry within 2 months after the object is added to the CII List.</t>
        </is>
      </c>
      <c r="G52" s="5" t="inlineStr">
        <is>
          <t>Qanun 20-4.2: «Kritik informasiya infrastrukturunun təhlükəsizliyi üzrə xüsusi tələblər kritik informasiya infrastrukturunun subyekti tərəfindən kritik informasiya infrastrukturunun təyinatı və onun fəaliyyət xüsusiyyətlərinə müvafiq olaraq müəyyən edilir və kritik informasiya infrastrukturu obyektlərinin reyestrində yerləşdirilməsi təmin edilir.» | Qaydalar 10.2: «İnformasiya sistemləri, avtomatlaşdırılmış idarəetmə sistemləri və ya informasiya-kommunikasiya şəbəkələri Siyahıya daxil edildikdən sonra 2 (iki) ay müddətində kritik informasiya infrastrukturu subyektləri tərəfindən həmin obyektlərə dair təhlükəsizlik üzrə xüsusi tələblərin Reyestrin müvafiq bölməsində yerləşdirilməsi təmin edilir.»</t>
        </is>
      </c>
      <c r="H52" s="5" t="inlineStr">
        <is>
          <t>KİI subyekti</t>
        </is>
      </c>
      <c r="I52" s="5" t="inlineStr">
        <is>
          <t>Regulatory</t>
        </is>
      </c>
      <c r="J52" s="5" t="inlineStr">
        <is>
          <t>Siyahıya daxil edildikdən 2 ay ərzində; dəyişiklikdə</t>
        </is>
      </c>
      <c r="K52" s="6" t="inlineStr">
        <is>
          <t>Yüksək</t>
        </is>
      </c>
      <c r="L52" s="5" t="inlineStr">
        <is>
          <t>Dövlət Təhlükəsizliyi Xidməti (səlahiyyətli orqan; Milli kibermərkəz) — dövlət qurumlarına münasibətdə XRİTDX ilə birgə (Fərman № 1315, b. 1; Qaydalar b. 1.2)</t>
        </is>
      </c>
      <c r="M52" s="5" t="inlineStr">
        <is>
          <t>• Xüsusi tələblər sənədi (Qaydalar 5.2–5.3 mənbələri əsasında)
• Tələblərin kontrol xəritəsi</t>
        </is>
      </c>
      <c r="N52" s="5" t="inlineStr">
        <is>
          <t>• POL-KII</t>
        </is>
      </c>
      <c r="O52" s="5" t="inlineStr">
        <is>
          <t>https://e-qanun.az/framework/54651 ; https://e-qanun.az/framework/3525</t>
        </is>
      </c>
    </row>
    <row r="53">
      <c r="A53" s="5" t="inlineStr">
        <is>
          <t>KII-06</t>
        </is>
      </c>
      <c r="B53" s="5" t="inlineStr">
        <is>
          <t>KII təhlükəsizliyi</t>
        </is>
      </c>
      <c r="C53" s="5" t="inlineStr">
        <is>
          <t>KİI Qaydaları (NK № 229) / İnformasiya Qanunu V-I fəsil</t>
        </is>
      </c>
      <c r="D53" s="5" t="inlineStr">
        <is>
          <t>Qaydalar b. 4.1.1 (2-ci və 4-cü abzaslar)</t>
        </is>
      </c>
      <c r="E53" s="5" t="inlineStr">
        <is>
          <t>Təhlükəsizlik risklərini müəyyən edib qiymətləndirin; üçüncü tərəflərlə müqavilələrə təhlükəsizlik şərtləri daxil edin.</t>
        </is>
      </c>
      <c r="F53" s="5" t="inlineStr">
        <is>
          <t>Identify and assess security risks and inform relevant staff; include security clauses in contracts with third parties affecting CII (IT vendors, support, call centres, integrations).</t>
        </is>
      </c>
      <c r="G53" s="5" t="inlineStr">
        <is>
          <t>4.1.1.2: «təhlükəsizlik riskləri müəyyən olunmalı, qiymətləndirilməli və aidiyyəti şəxslər həmin risklər və onların idarə edilməsi barədə məlumatlandırılmalıdırlar;» | 4.1.1.4: «kritik informasiya infrastrukturu obyektlərinin təhlükəsizliyinə və fəaliyyətinin davamlılığına təsir edə biləcək üçüncü tərəflərlə (informasiya texnologiyaları məhsulları, informasiya texnologiyaları xidmətləri, digər hüquqi şəxsin xidmətlərindən istifadə etməklə həyata keçirilən fəaliyyət, texniki dəstək, çağrı mərkəzləri, qarşılıqlı əlaqə (inteqrasiya) və s. üzrə) bağlanılmış müqavilələrə təhlükəsizliklə bağlı şərtlər (tələblər) daxil edilməlidir;»</t>
        </is>
      </c>
      <c r="H53" s="5" t="inlineStr">
        <is>
          <t>KİI subyekti</t>
        </is>
      </c>
      <c r="I53" s="5" t="inlineStr">
        <is>
          <t>Regulatory</t>
        </is>
      </c>
      <c r="J53" s="5" t="inlineStr">
        <is>
          <t>Davamlı; risk qiymətləndirməsi ən azı illik</t>
        </is>
      </c>
      <c r="K53" s="6" t="inlineStr">
        <is>
          <t>Yüksək</t>
        </is>
      </c>
      <c r="L53" s="5" t="inlineStr">
        <is>
          <t>Dövlət Təhlükəsizliyi Xidməti (səlahiyyətli orqan; Milli kibermərkəz) — dövlət qurumlarına münasibətdə XRİTDX ilə birgə (Fərman № 1315, b. 1; Qaydalar b. 1.2)</t>
        </is>
      </c>
      <c r="M53" s="5" t="inlineStr">
        <is>
          <t>• KİI risk reyestri
• Təchizatçı müqavilələri üçün təhlükəsizlik əlavəsi
• Təchizatçı risk qiymətləndirməsi</t>
        </is>
      </c>
      <c r="N53" s="5" t="inlineStr">
        <is>
          <t>• POL-RISK
• POL-TPRM</t>
        </is>
      </c>
      <c r="O53" s="5" t="inlineStr">
        <is>
          <t>https://e-qanun.az/framework/54651</t>
        </is>
      </c>
    </row>
    <row r="54">
      <c r="A54" s="5" t="inlineStr">
        <is>
          <t>KII-07</t>
        </is>
      </c>
      <c r="B54" s="5" t="inlineStr">
        <is>
          <t>KII təhlükəsizliyi</t>
        </is>
      </c>
      <c r="C54" s="5" t="inlineStr">
        <is>
          <t>KİI Qaydaları (NK № 229) / İnformasiya Qanunu V-I fəsil</t>
        </is>
      </c>
      <c r="D54" s="5" t="inlineStr">
        <is>
          <t>Qaydalar b. 4.1.2 (1-ci və 2-ci abzaslar)</t>
        </is>
      </c>
      <c r="E54" s="5" t="inlineStr">
        <is>
          <t>Aidiyyəti şəxsləri mütəmadi təlimləndirin; işə qəbulda məxfilik öhdəliyi alın, işdən çıxmada hesabları dərhal deaktiv edin.</t>
        </is>
      </c>
      <c r="F54" s="5" t="inlineStr">
        <is>
          <t>Train relevant staff regularly (evidence in Registry); have new hires sign NDAs; on exit/role change, recover assets and deactivate all accounts immediately.</t>
        </is>
      </c>
      <c r="G54" s="5" t="inlineStr">
        <is>
          <t>4.1.2.1: «aidiyyəti şəxslər təhlükəsizlik məsələləri üzrə zəruri məlumat, bilik və bacarıqlara sahib olmalı, müvafiq proqram üzrə mütəmadi olaraq təlimlərə və maarifləndirici tədbirlərə cəlb edilməli və bunlara dair təsdiqedici sənədlər Reyestrdə yerləşdirilməlidir;» | 4.1.2.2: «işə qəbul olunan əməkdaşlar təhlükəsizlik prosedurları ilə bağlı məlumatlandırılmalı, kritik informasiya infrastrukturu obyektinin təhlükəsizliyinə dair əldə edilmiş məlumatların açıqlanmaması ilə bağlı öhdəlik sənədini imzalamalı, əmək münasibətlərinə xitam verilməsi və ya dəyişdirilməsi halında kritik informasiya infrastrukturunun təhlükəsizliyinin təmin olunması məqsədilə kritik informasiya infrastrukturu obyektinə aid aktivlərin kritik informasiya infrastrukturu subyektinə geri qaytarılması, o cümlədən fəaliyyəti ilə əlaqədar informasiya ehtiyatlarında və sistemlərində bütün sahib olduğu xidməti hesabların fəaliyyətsizləşdirilməsi (“deaktiv” edilməsi və ya hesaba daxil olmaq üçün tələb edilən məlumatlarının dəyişdirilməsi) dərhal təmin edilməlidir;»</t>
        </is>
      </c>
      <c r="H54" s="5" t="inlineStr">
        <is>
          <t>KİI subyekti (HR, İT, təhlükəsizlik)</t>
        </is>
      </c>
      <c r="I54" s="5" t="inlineStr">
        <is>
          <t>Regulatory</t>
        </is>
      </c>
      <c r="J54" s="5" t="inlineStr">
        <is>
          <t>İşə qəbul/çıxışda; təlim — mütəmadi</t>
        </is>
      </c>
      <c r="K54" s="6" t="inlineStr">
        <is>
          <t>Yüksək</t>
        </is>
      </c>
      <c r="L54" s="5" t="inlineStr">
        <is>
          <t>Dövlət Təhlükəsizliyi Xidməti (səlahiyyətli orqan; Milli kibermərkəz) — dövlət qurumlarına münasibətdə XRİTDX ilə birgə (Fərman № 1315, b. 1; Qaydalar b. 1.2)</t>
        </is>
      </c>
      <c r="M54" s="5" t="inlineStr">
        <is>
          <t>• Joiner-Mover-Leaver prosesi
• Məxfilik öhdəliyi forması
• Təlim jurnalı və sertifikatlar
• Hesab deaktivasiyası üçün SLA (eyni gün)</t>
        </is>
      </c>
      <c r="N54" s="5" t="inlineStr">
        <is>
          <t>• POL-HR
• POL-IAM
• POL-AWARE</t>
        </is>
      </c>
      <c r="O54" s="5" t="inlineStr">
        <is>
          <t>https://e-qanun.az/framework/54651</t>
        </is>
      </c>
    </row>
    <row r="55">
      <c r="A55" s="5" t="inlineStr">
        <is>
          <t>KII-08</t>
        </is>
      </c>
      <c r="B55" s="5" t="inlineStr">
        <is>
          <t>KII təhlükəsizliyi</t>
        </is>
      </c>
      <c r="C55" s="5" t="inlineStr">
        <is>
          <t>KİI Qaydaları (NK № 229) / İnformasiya Qanunu V-I fəsil</t>
        </is>
      </c>
      <c r="D55" s="5" t="inlineStr">
        <is>
          <t>Qaydalar b. 4.1.3 (3-cü və 5-ci abzaslar)</t>
        </is>
      </c>
      <c r="E55" s="5" t="inlineStr">
        <is>
          <t>Sertifikatlaşdırılmış və lisenziyalı proqram təminatı istifadə edin; giriş nəzarəti qurun, bütün giriş cəhdlərini loglayın.</t>
        </is>
      </c>
      <c r="F55" s="5" t="inlineStr">
        <is>
          <t>Use certified, licensed software/hardware; implement documented access control, log all successful and failed access attempts and auto-alert failed attempts to the SOC.</t>
        </is>
      </c>
      <c r="G55" s="5" t="inlineStr">
        <is>
          <t>4.1.3.3: «təhlükəsizlik üzrə sertifikatlaşdırılmış və lisenziyalı proqram təminatından və proqram-texniki vasitələrdən istifadə edilməli, məlumatlarla, o cümlədən dövlət sirri və ya qanunla qorunan digər sirr təşkil edən məlumatlarla, yaxud fərdi məlumatlarla bağlı informasiya mübadiləsi zamanı müvafiq normativ hüquqi aktların tələblərinə riayət edilməli, təşkilati, texniki və texnoloji tədbirlər həyata keçirilməklə informasiyanın mühafizəsi təmin edilməlidir;» | 4.1.3.5: «kritik informasiya infrastrukturu obyektlərinə icazəsiz girişlərin qarşısının alınması üçün tədbirlər görülməli, girişlərə nəzarət qaydaları və mexanizmləri formalaşdırılmalı, sənədləşdirilməli və aktuallığı təmin olunmalı, eləcə də bütün uğurlu girişlər və uğursuz cəhdlərin qeydiyyata alınması (loq-faylların aparılması) və uğursuz giriş cəhdləri barədə bildirişlərin avtomatik olaraq kritik informasiya infrastrukturu subyektinin (və ya xidmət alındığı təqdirdə kibertəhlükəsizlik xidməti provayderinin) təhlükəsizlik əməliyyatları mərkəzinə göndərilməsi təmin edilməlidir;»</t>
        </is>
      </c>
      <c r="H55" s="5" t="inlineStr">
        <is>
          <t>KİI subyekti</t>
        </is>
      </c>
      <c r="I55" s="5" t="inlineStr">
        <is>
          <t>Regulatory</t>
        </is>
      </c>
      <c r="J55" s="5" t="inlineStr">
        <is>
          <t>Davamlı</t>
        </is>
      </c>
      <c r="K55" s="6" t="inlineStr">
        <is>
          <t>Yüksək</t>
        </is>
      </c>
      <c r="L55" s="5" t="inlineStr">
        <is>
          <t>Dövlət Təhlükəsizliyi Xidməti (səlahiyyətli orqan; Milli kibermərkəz) — dövlət qurumlarına münasibətdə XRİTDX ilə birgə (Fərman № 1315, b. 1; Qaydalar b. 1.2)</t>
        </is>
      </c>
      <c r="M55" s="5" t="inlineStr">
        <is>
          <t>• Lisenziya və proqram inventarı
• IAM/PAM, MFA
• Uğursuz giriş cəhdləri üçün SIEM alertləri</t>
        </is>
      </c>
      <c r="N55" s="5" t="inlineStr">
        <is>
          <t>• POL-IAM
• POL-ASSET
• POL-LOG</t>
        </is>
      </c>
      <c r="O55" s="5" t="inlineStr">
        <is>
          <t>https://e-qanun.az/framework/54651</t>
        </is>
      </c>
    </row>
    <row r="56">
      <c r="A56" s="5" t="inlineStr">
        <is>
          <t>KII-09</t>
        </is>
      </c>
      <c r="B56" s="5" t="inlineStr">
        <is>
          <t>KII təhlükəsizliyi</t>
        </is>
      </c>
      <c r="C56" s="5" t="inlineStr">
        <is>
          <t>KİI Qaydaları (NK № 229) / İnformasiya Qanunu V-I fəsil</t>
        </is>
      </c>
      <c r="D56" s="5" t="inlineStr">
        <is>
          <t>Qaydalar b. 4.1.6 (2-ci və 3-cü abzaslar)</t>
        </is>
      </c>
      <c r="E56" s="5" t="inlineStr">
        <is>
          <t>Davamlılıq və bərpa planları hazırlayıb təsdiqləyin, ildə bir dəfə sınaqdan keçirin, nəticələri Reyestrdə yerləşdirin.</t>
        </is>
      </c>
      <c r="F56" s="5" t="inlineStr">
        <is>
          <t>Prepare and approve business-continuity and recovery plans for CII, test them annually, record results in the Registry, and define maximum tolerable downtime.</t>
        </is>
      </c>
      <c r="G56" s="5" t="inlineStr">
        <is>
          <t>4.1.6.2: «fövqəladə hallarda kritik informasiya infrastrukturu obyektlərinin fəaliyyətinin davamlılıq planı, eləcə də bərpa planı hazırlanmalı, təsdiq olunmalı, ildə bir dəfə sınağı həyata keçirilməli və sınaq nəticələri Reyestrdə yerləşdirilməlidir;» | 4.1.6.3: «kritik informasiya infrastrukturu obyektinin fəaliyyətinin dayanmasının yol verilən həddi (müddəti) müəyyən olunmalıdır;»</t>
        </is>
      </c>
      <c r="H56" s="5" t="inlineStr">
        <is>
          <t>KİI subyekti</t>
        </is>
      </c>
      <c r="I56" s="5" t="inlineStr">
        <is>
          <t>Regulatory</t>
        </is>
      </c>
      <c r="J56" s="5" t="inlineStr">
        <is>
          <t>İllik sınaq</t>
        </is>
      </c>
      <c r="K56" s="6" t="inlineStr">
        <is>
          <t>Yüksək</t>
        </is>
      </c>
      <c r="L56" s="5" t="inlineStr">
        <is>
          <t>Dövlət Təhlükəsizliyi Xidməti (səlahiyyətli orqan; Milli kibermərkəz) — dövlət qurumlarına münasibətdə XRİTDX ilə birgə (Fərman № 1315, b. 1; Qaydalar b. 1.2)</t>
        </is>
      </c>
      <c r="M56" s="5" t="inlineStr">
        <is>
          <t>• BCP/DRP
• İllik DR sınağı və hesabatı
• RTO/MTD müəyyən edilməsi (BIA)</t>
        </is>
      </c>
      <c r="N56" s="5" t="inlineStr">
        <is>
          <t>• POL-BCM
• POL-BACKUP</t>
        </is>
      </c>
      <c r="O56" s="5" t="inlineStr">
        <is>
          <t>https://e-qanun.az/framework/54651</t>
        </is>
      </c>
    </row>
    <row r="57">
      <c r="A57" s="5" t="inlineStr">
        <is>
          <t>KII-10</t>
        </is>
      </c>
      <c r="B57" s="5" t="inlineStr">
        <is>
          <t>KII təhlükəsizliyi</t>
        </is>
      </c>
      <c r="C57" s="5" t="inlineStr">
        <is>
          <t>KİI Qaydaları (NK № 229) / İnformasiya Qanunu V-I fəsil</t>
        </is>
      </c>
      <c r="D57" s="5" t="inlineStr">
        <is>
          <t>Qaydalar b. 4.1.7 (2-ci abzas), b. 8.9.12 (həmçinin bax: 4.1.7 5-ci abzas, 9.4)</t>
        </is>
      </c>
      <c r="E57" s="5" t="inlineStr">
        <is>
          <t>KİI obyektlərini 24/7 monitorinq edin, loqları ən azı bir il saxlayın, məlumatları real vaxtda kibermərkəzə ötürün.</t>
        </is>
      </c>
      <c r="F57" s="5" t="inlineStr">
        <is>
          <t>Monitor CII 24/7 (own SOC or provider), retain event logs at least one year, and stream data in real time to the relevant national cyber centre.</t>
        </is>
      </c>
      <c r="G57" s="5" t="inlineStr">
        <is>
          <t>4.1.7.2: «kritik informasiya infrastrukturu obyektlərinin fəaliyyətinin fasiləsiz (24/7 rejimdə) monitorinqi və qeydiyyata alınması (loq-faylların aparılması) həyata keçirilməli və hadisə loqları ən azı bir il müddətinə saxlanılmalıdır;» | 8.9.12: «kritik informasiya infrastrukturu obyektlərinin təhlükəsizliyinin fasiləsiz (24/7 rejimdə) monitorinqinin struktur bölməsi (təhlükəsizlik əməliyyatları mərkəzi) vasitəsilə birbaşa yerində və (və ya) kibertəhlükəsizlik xidməti provayderi vasitəsilə məsafədən həyata keçirilməsini təmin edir, əldə olunan məlumatları real vaxt rejimində mərkəzləşmiş nəzarət üçün aidiyyəti kibermərkəzə təqdim edir;»</t>
        </is>
      </c>
      <c r="H57" s="5" t="inlineStr">
        <is>
          <t>KİI subyekti (və ya onun kibertəhlükəsizlik xidməti provayderi)</t>
        </is>
      </c>
      <c r="I57" s="5" t="inlineStr">
        <is>
          <t>Regulatory</t>
        </is>
      </c>
      <c r="J57" s="5" t="inlineStr">
        <is>
          <t>Fasiləsiz (24/7)</t>
        </is>
      </c>
      <c r="K57" s="6" t="inlineStr">
        <is>
          <t>Yüksək</t>
        </is>
      </c>
      <c r="L57" s="5" t="inlineStr">
        <is>
          <t>Dövlət Təhlükəsizliyi Xidməti (səlahiyyətli orqan; Milli kibermərkəz) — dövlət qurumlarına münasibətdə XRİTDX ilə birgə (Fərman № 1315, b. 1; Qaydalar b. 1.2)</t>
        </is>
      </c>
      <c r="M57" s="5" t="inlineStr">
        <is>
          <t>• SIEM/SOC 24/7
• Loq saxlanması ≥ 12 ay
• Milli kibermərkəzə real vaxt inteqrasiyası</t>
        </is>
      </c>
      <c r="N57" s="5" t="inlineStr">
        <is>
          <t>• POL-LOG
• POL-IR</t>
        </is>
      </c>
      <c r="O57" s="5" t="inlineStr">
        <is>
          <t>https://e-qanun.az/framework/54651</t>
        </is>
      </c>
    </row>
    <row r="58">
      <c r="A58" s="5" t="inlineStr">
        <is>
          <t>KII-11</t>
        </is>
      </c>
      <c r="B58" s="5" t="inlineStr">
        <is>
          <t>KII təhlükəsizliyi</t>
        </is>
      </c>
      <c r="C58" s="5" t="inlineStr">
        <is>
          <t>KİI Qaydaları (NK № 229) / İnformasiya Qanunu V-I fəsil</t>
        </is>
      </c>
      <c r="D58" s="5" t="inlineStr">
        <is>
          <t>Qanun Maddə 20-3.4; Qaydalar b. 8.9.16</t>
        </is>
      </c>
      <c r="E58" s="5" t="inlineStr">
        <is>
          <t>KİI-yə kibertəhdid, kiberhücum və kiberinsidentlər barədə səlahiyyətli orqanı və aidiyyəti kibermərkəzi dərhal məlumatlandırın.</t>
        </is>
      </c>
      <c r="F58" s="5" t="inlineStr">
        <is>
          <t>Respond to attacks on CII and immediately notify the competent authority/relevant cyber centre of cyber threats, attacks, incidents and attempts; support the investigation.</t>
        </is>
      </c>
      <c r="G58" s="5" t="inlineStr">
        <is>
          <t>Qanun 20-3.4: «Kritik informasiya infrastrukturu subyektləri onlara məxsus olan kritik informasiya infrastrukturuna kibertəhdidlər, kiberhücumlar, kiberinsidentlər, habelə bu əməllərin törədilməsinə cəhdlər barədə məlumatları kritik informasiya infrastrukturunun təhlükəsizliyi üzrə tələblərlə müəyyən edilmiş qaydada səlahiyyətli orqana göndərməlidirlər.» | Qaydalar 8.9.16: «kritik informasiya infrastrukturu obyektinə olan kiberhücumlara qarşı cavab tədbirlərinin görülməsi, kibertəhdidlərin və kiberinsidentlərin qarşısının alınması və nəticələrinin aradan qaldırılmasını təmin edir, bu barədə aidiyyəti kibermərkəzi dərhal məlumatlandırır, həmçinin kiberinsidentlərin tədqiqatının tam və hərtərəfli aparılması ilə bağlı aidiyyəti kibermərkəzə zəruri şərait yaradır və dəstək verir;»</t>
        </is>
      </c>
      <c r="H58" s="5" t="inlineStr">
        <is>
          <t>KİI subyekti</t>
        </is>
      </c>
      <c r="I58" s="5" t="inlineStr">
        <is>
          <t>Legal</t>
        </is>
      </c>
      <c r="J58" s="5" t="inlineStr">
        <is>
          <t>Hadisə əsaslı — dərhal</t>
        </is>
      </c>
      <c r="K58" s="6" t="inlineStr">
        <is>
          <t>Yüksək</t>
        </is>
      </c>
      <c r="L58" s="5" t="inlineStr">
        <is>
          <t>Dövlət Təhlükəsizliyi Xidməti (səlahiyyətli orqan; Milli kibermərkəz) — dövlət qurumlarına münasibətdə XRİTDX ilə birgə (Fərman № 1315, b. 1; Qaydalar b. 1.2)</t>
        </is>
      </c>
      <c r="M58" s="5" t="inlineStr">
        <is>
          <t>• KİI insident cavab planı
• Bildiriş şablonları və əlaqə matrisi
• Sübutların qorunması (forensic readiness)</t>
        </is>
      </c>
      <c r="N58" s="5" t="inlineStr">
        <is>
          <t>• POL-IR</t>
        </is>
      </c>
      <c r="O58" s="5" t="inlineStr">
        <is>
          <t>https://e-qanun.az/framework/54651 ; https://e-qanun.az/framework/3525</t>
        </is>
      </c>
    </row>
    <row r="59">
      <c r="A59" s="5" t="inlineStr">
        <is>
          <t>KII-12</t>
        </is>
      </c>
      <c r="B59" s="5" t="inlineStr">
        <is>
          <t>KII təhlükəsizliyi</t>
        </is>
      </c>
      <c r="C59" s="5" t="inlineStr">
        <is>
          <t>KİI Qaydaları (NK № 229) / İnformasiya Qanunu V-I fəsil</t>
        </is>
      </c>
      <c r="D59" s="5" t="inlineStr">
        <is>
          <t>Qaydalar b. 4.1.7 (3-cü və 4-cü abzaslar) (həmçinin bax: b. 8.9.13, 9.5)</t>
        </is>
      </c>
      <c r="E59" s="5" t="inlineStr">
        <is>
          <t>Daxili audit planını təsdiqləyin; ildə ən azı bir dəfə, 7 gün əvvəl bildirməklə müdaxilə sınağı keçirin.</t>
        </is>
      </c>
      <c r="F59" s="5" t="inlineStr">
        <is>
          <t>Approve and execute an internal CII security audit plan; run penetration tests at least annually, notifying the cyber centre at least 7 days before, and record results in the Registry.</t>
        </is>
      </c>
      <c r="G59" s="5" t="inlineStr">
        <is>
          <t>4.1.7.3: «kritik informasiya infrastrukturu obyektlərinin təhlükəsizliyinin auditinə dair daxili plan təsdiq edilməli, Reyestrdə yerləşdirilməli və icrası təşkil edilməlidir;» | 4.1.7.4: «kritik informasiya infrastrukturu obyektinin təhlükəsizliyində boşluqların, zəifliklərin və digər uyğunsuzluqların aşkar olunması məqsədilə müdaxilə sınaqlarının keçirilməsinə dair illik və (və ya) cari plana uyğun olaraq ildə 1 (bir) dəfədən az olmayaraq (bu tədbirlərin keçirilməsindən ən azı 7 (yeddi) gün əvvəl Dövlət Təhlükəsizliyi Xidmətinin Kibertəhlükəsizlik Əməliyyatları Mərkəzini (bundan sonra – Milli kibermərkəz), dövlət qurumlarına münasibətdə həmçinin XRİTDX-nin kibermərkəzini (bundan sonra – Dövlət qurumları üzrə kibermərkəz) məlumatlandırmaqla) müdaxilə sınaqları keçirilməli və nəticələr Reyestrdə yerləşdirilməlidir;»</t>
        </is>
      </c>
      <c r="H59" s="5" t="inlineStr">
        <is>
          <t>KİI subyekti</t>
        </is>
      </c>
      <c r="I59" s="5" t="inlineStr">
        <is>
          <t>Regulatory</t>
        </is>
      </c>
      <c r="J59" s="5" t="inlineStr">
        <is>
          <t>İllik (pentest); plan üzrə (daxili audit)</t>
        </is>
      </c>
      <c r="K59" s="6" t="inlineStr">
        <is>
          <t>Yüksək</t>
        </is>
      </c>
      <c r="L59" s="5" t="inlineStr">
        <is>
          <t>Dövlət Təhlükəsizliyi Xidməti (səlahiyyətli orqan; Milli kibermərkəz) — dövlət qurumlarına münasibətdə XRİTDX ilə birgə (Fərman № 1315, b. 1; Qaydalar b. 1.2)</t>
        </is>
      </c>
      <c r="M59" s="5" t="inlineStr">
        <is>
          <t>• İllik pentest planı
• Milli kibermərkəzə 7 gün əvvəl bildiriş
• Daxili audit proqramı</t>
        </is>
      </c>
      <c r="N59" s="5" t="inlineStr">
        <is>
          <t>• POL-AUDIT
• POL-VULN</t>
        </is>
      </c>
      <c r="O59" s="5" t="inlineStr">
        <is>
          <t>https://e-qanun.az/framework/54651</t>
        </is>
      </c>
    </row>
    <row r="60">
      <c r="A60" s="5" t="inlineStr">
        <is>
          <t>KII-13</t>
        </is>
      </c>
      <c r="B60" s="5" t="inlineStr">
        <is>
          <t>KII təhlükəsizliyi</t>
        </is>
      </c>
      <c r="C60" s="5" t="inlineStr">
        <is>
          <t>KİI Qaydaları (NK № 229) / İnformasiya Qanunu V-I fəsil</t>
        </is>
      </c>
      <c r="D60" s="5" t="inlineStr">
        <is>
          <t>Qanun Maddə 20-6.8 (həmçinin bax: Qaydalar b. 9.6)</t>
        </is>
      </c>
      <c r="E60" s="5" t="inlineStr">
        <is>
          <t>Ildə ən azı bir dəfə kibertəhlükəsizlik xidməti provayderi tərəfindən kənar audit keçirin, nəticəni səlahiyyətli orqana göndərin.</t>
        </is>
      </c>
      <c r="F60" s="5" t="inlineStr">
        <is>
          <t>Commission an external audit by a qualified cybersecurity service provider at least once a year and send the results to the competent authority.</t>
        </is>
      </c>
      <c r="G60" s="5" t="inlineStr">
        <is>
          <t>Qanun 20-6.8: «Kritik informasiya infrastrukturunun təhlükəsizliyinə dair tələblərə uyğunluğun təmin edilməsi, o cümlədən informasiya təhlükəsizliyini idarəetmə sisteminin tələblərə müvafiq fəaliyyətini təşkil etmək üçün kritik informasiya infrastrukturu subyektləri ildə bir dəfədən az olmayaraq kibertəhlükəsizlik xidməti provayderi tərəfindən kənar audit yoxlamalarının keçirilməsini və onun nəticələrinin səlahiyyətli orqana göndərilməsini təmin etməlidirlər.»</t>
        </is>
      </c>
      <c r="H60" s="5" t="inlineStr">
        <is>
          <t>KİI subyekti</t>
        </is>
      </c>
      <c r="I60" s="5" t="inlineStr">
        <is>
          <t>Legal</t>
        </is>
      </c>
      <c r="J60" s="5" t="inlineStr">
        <is>
          <t>İllik</t>
        </is>
      </c>
      <c r="K60" s="6" t="inlineStr">
        <is>
          <t>Yüksək</t>
        </is>
      </c>
      <c r="L60" s="5" t="inlineStr">
        <is>
          <t>Dövlət Təhlükəsizliyi Xidməti (səlahiyyətli orqan; Milli kibermərkəz) — dövlət qurumlarına münasibətdə XRİTDX ilə birgə (Fərman № 1315, b. 1; Qaydalar b. 1.2)</t>
        </is>
      </c>
      <c r="M60" s="5" t="inlineStr">
        <is>
          <t>• Akkreditə/uyğun provayderlə illik audit müqaviləsi
• Audit hesabatının təqdimetmə izlənməsi</t>
        </is>
      </c>
      <c r="N60" s="5" t="inlineStr">
        <is>
          <t>• POL-AUDIT
• POL-TPRM</t>
        </is>
      </c>
      <c r="O60" s="5" t="inlineStr">
        <is>
          <t>https://e-qanun.az/framework/54651 ; https://e-qanun.az/framework/3525</t>
        </is>
      </c>
    </row>
    <row r="61">
      <c r="A61" s="5" t="inlineStr">
        <is>
          <t>KII-14</t>
        </is>
      </c>
      <c r="B61" s="5" t="inlineStr">
        <is>
          <t>KII təhlükəsizliyi</t>
        </is>
      </c>
      <c r="C61" s="5" t="inlineStr">
        <is>
          <t>KİI Qaydaları (NK № 229) / İnformasiya Qanunu V-I fəsil</t>
        </is>
      </c>
      <c r="D61" s="5" t="inlineStr">
        <is>
          <t>Qanun Maddə 20-4.4 (ikinci cümlə), 20-6.7 (həmçinin bax: Qaydalar b. 8.9.17, 9.15)</t>
        </is>
      </c>
      <c r="E61" s="5" t="inlineStr">
        <is>
          <t>Səlahiyyətli orqanın sorğularına təxirə salınmadan cavab verin; aşkar edilmiş pozuntuları dərhal aradan qaldırıb nəticəni bildirin.</t>
        </is>
      </c>
      <c r="F61" s="5" t="inlineStr">
        <is>
          <t>Answer competent-authority requests without delay; remediate identified CII security violations promptly and report the outcome (placing it in the Registry).</t>
        </is>
      </c>
      <c r="G61" s="5" t="inlineStr">
        <is>
          <t>Qanun 20-4.4: «Kritik informasiya infrastrukturunun təhlükəsizliyi üzrə tələblərə riayət edilməsi vəziyyətinin öyrənilməsi məqsədilə səlahiyyətli orqanın kritik informasiya infrastrukturunun subyektinə göndərdiyi sorğular təxirə salınmadan cavablandırılmalıdır.» | Qanun 20-6.7: «Kritik informasiya infrastrukturu subyektləri səlahiyyətli orqan tərəfindən aşkar edilmiş kritik informasiya infrastrukturunun təhlükəsizliyi üzrə tələblərin pozulması hallarını onun tələbinə əsasən təxirə salınmadan aradan qaldırmalı və görülmüş tədbirlərin nəticəsi barədə məlumat verməlidirlər.»</t>
        </is>
      </c>
      <c r="H61" s="5" t="inlineStr">
        <is>
          <t>KİI subyekti</t>
        </is>
      </c>
      <c r="I61" s="5" t="inlineStr">
        <is>
          <t>Legal</t>
        </is>
      </c>
      <c r="J61" s="5" t="inlineStr">
        <is>
          <t>Sorğu/aşkarlama əsasında — təxirəsalınmaz</t>
        </is>
      </c>
      <c r="K61" s="6" t="inlineStr">
        <is>
          <t>Yüksək</t>
        </is>
      </c>
      <c r="L61" s="5" t="inlineStr">
        <is>
          <t>Dövlət Təhlükəsizliyi Xidməti (səlahiyyətli orqan; Milli kibermərkəz) — dövlət qurumlarına münasibətdə XRİTDX ilə birgə (Fərman № 1315, b. 1; Qaydalar b. 1.2)</t>
        </is>
      </c>
      <c r="M61" s="5" t="inlineStr">
        <is>
          <t>• Tənzimləyici tapıntılar üzrə remediasiya reyestri
• Rəhbərlik səviyyəsində eskalasiya</t>
        </is>
      </c>
      <c r="N61" s="5" t="inlineStr">
        <is>
          <t>• POL-REGCOM
• POL-VULN</t>
        </is>
      </c>
      <c r="O61" s="5" t="inlineStr">
        <is>
          <t>https://e-qanun.az/framework/54651 ; https://e-qanun.az/framework/3525</t>
        </is>
      </c>
    </row>
    <row r="62">
      <c r="A62" s="5" t="inlineStr">
        <is>
          <t>KII-15</t>
        </is>
      </c>
      <c r="B62" s="5" t="inlineStr">
        <is>
          <t>KII təhlükəsizliyi</t>
        </is>
      </c>
      <c r="C62" s="5" t="inlineStr">
        <is>
          <t>KİI Qaydaları (NK № 229) / İnformasiya Qanunu V-I fəsil</t>
        </is>
      </c>
      <c r="D62" s="5" t="inlineStr">
        <is>
          <t>Qanun Maddə 20-3.5; Qaydalar b. 6.3.2, 6.4.9 (həmçinin bax: b. 6.1–6.4)</t>
        </is>
      </c>
      <c r="E62" s="5" t="inlineStr">
        <is>
          <t>KİI üçün yalnız tələblərə (vətəndaşlıq, 24/7 SOC, loq saxlama) cavab verən kibertəhlükəsizlik provayderi seçin.</t>
        </is>
      </c>
      <c r="F62" s="5" t="inlineStr">
        <is>
          <t>Engage only cybersecurity service providers meeting the statutory requirements (Azerbaijani-citizen owners/staff, 24/7 SOC, segregation, ≥1-year logs, national solutions).</t>
        </is>
      </c>
      <c r="G62" s="5" t="inlineStr">
        <is>
          <t>Qanun 20-3.5: «Kritik informasiya infrastrukturu subyektlərinə xidmət göstərən kibertəhlükəsizlik xidməti provayderinin təsisçisi və onun səlahiyyətli nümayəndəsi, eləcə də provayderin kritik informasiya infrastrukturunun təhlükəsizliyi üzrə fəaliyyətinə rəhbərlik edən şəxs və bu fəaliyyətə cəlb edilmiş digər əməkdaşlar Azərbaycan Respublikasının vətəndaşı olmalıdırlar.» | Qaydalar 6.3.2: «kritik informasiya infrastrukturu obyektlərinə xidmətlərin göstərilməsində xarici təchizatçılar və şirkətlərdən alınan həllərlə yanaşı, milli texniki-texnoloji həllərdən istifadə olunmalıdır;» | Qaydalar 6.4.9: «təhlükəsizlik hadisələri, xətalar, habelə istifadəçilərin fəaliyyəti barədə məlumatlar bir ildən az olmayan müddətdə saxlanılmalıdır;»</t>
        </is>
      </c>
      <c r="H62" s="5" t="inlineStr">
        <is>
          <t>KİI subyekti (təchizatçı seçimi); KİI-yə xidmət göstərən kibertəhlükəsizlik provayderi</t>
        </is>
      </c>
      <c r="I62" s="5" t="inlineStr">
        <is>
          <t>Legal</t>
        </is>
      </c>
      <c r="J62" s="5" t="inlineStr">
        <is>
          <t>Müqavilədən əvvəl və illik</t>
        </is>
      </c>
      <c r="K62" s="7" t="inlineStr">
        <is>
          <t>Orta</t>
        </is>
      </c>
      <c r="L62" s="5" t="inlineStr">
        <is>
          <t>Dövlət Təhlükəsizliyi Xidməti (səlahiyyətli orqan; Milli kibermərkəz) — dövlət qurumlarına münasibətdə XRİTDX ilə birgə (Fərman № 1315, b. 1; Qaydalar b. 1.2)</t>
        </is>
      </c>
      <c r="M62" s="5" t="inlineStr">
        <is>
          <t>• MSSP due-diligence yoxlama siyahısı (Qaydalar 6.1–6.4)
• Müqavilədə uyğunluq zəmanətləri</t>
        </is>
      </c>
      <c r="N62" s="5" t="inlineStr">
        <is>
          <t>• POL-TPRM
• POL-KII</t>
        </is>
      </c>
      <c r="O62" s="5" t="inlineStr">
        <is>
          <t>https://e-qanun.az/framework/54651 ; https://e-qanun.az/framework/3525</t>
        </is>
      </c>
    </row>
    <row r="63">
      <c r="A63" s="5" t="inlineStr">
        <is>
          <t>CB-01</t>
        </is>
      </c>
      <c r="B63" s="5" t="inlineStr">
        <is>
          <t>Mərkəzi Bank</t>
        </is>
      </c>
      <c r="C63" s="5" t="inlineStr">
        <is>
          <t>CBAR İnformasiya təhlükəsizliyi Tələbləri (14/2)</t>
        </is>
      </c>
      <c r="D63" s="5" t="inlineStr">
        <is>
          <t>Bənd 3.1, 3.2, 3.6</t>
        </is>
      </c>
      <c r="E63" s="5" t="inlineStr">
        <is>
          <t>İTİS qurun; informasiya təhlükəsizliyi siyasətini Müşahidə Şurası təsdiqləsin, ona ildə azı bir dəfə baxılsın.</t>
        </is>
      </c>
      <c r="F63" s="5" t="inlineStr">
        <is>
          <t>Establish an ISMS under the Supervisory Board's oversight, have the board approve the information security policy, and review the policy at least annually and on material change.</t>
        </is>
      </c>
      <c r="G63" s="5" t="inlineStr">
        <is>
          <t>3.1. İTİS nəzarət subyektlərində bu Tələblərin və Azərbaycan Respublikası Mərkəzi Bankının (bundan sonra – Mərkəzi Bank) digər normativ xarakterli aktlarının tələbləri nəzərə alınmaqla nəzarət subyektinin yuxarı idarəetmə orqanının ümumi rəhbərliyi altında nəzarət subyektinin biznes prosesləri və ümumi idarəetmə sisteminin ayrılmaz hissəsi kimi formalaşdırılır, fəaliyyəti təmin edilir və davamlı olaraq təkmilləşdirilir.
3.2. İTİS-in formalaşdırılması ilə bağlı nəzarət subyektinin ümumi strategiyasına uyğun olan informasiya təhlükəsizliyi siyasəti hazırlanır və yuxarı idarəetmə orqanı tərəfindən təsdiq edilir.
3.6. İnformasiya təhlükəsizliyi siyasəti azı ildə 1 (bir) dəfə ayrıca, habelə nəzarət subyektinin risklərin idarə edilməsi sisteminə baxılarkən yenidən nəzərdən keçirilir və tələb edildikdə müvafiq dəyişikliklər edilir. İTİS-in davamlılığının, adekvatlığının və effektivliyinin təmin edilməsi üçün dəyişikliklər edildikdə informasiya təhlükəsizliyi siyasətinə növbədənkənar qaydada yenidən baxılır.</t>
        </is>
      </c>
      <c r="H63" s="5" t="inlineStr">
        <is>
          <t>Banks (I kateqoriya nəzarət subyekti / Category I supervised entity; same rule also binds the other supervised entities in 1.1)</t>
        </is>
      </c>
      <c r="I63" s="5" t="inlineStr">
        <is>
          <t>Regulatory</t>
        </is>
      </c>
      <c r="J63" s="5" t="inlineStr">
        <is>
          <t>ongoing; policy review annual (≥1/year) + ad hoc on ISMS changes</t>
        </is>
      </c>
      <c r="K63" s="6" t="inlineStr">
        <is>
          <t>Yüksək</t>
        </is>
      </c>
      <c r="L63" s="5" t="inlineStr">
        <is>
          <t>Azərbaycan Respublikasının Mərkəzi Bankı</t>
        </is>
      </c>
      <c r="M63" s="5" t="inlineStr">
        <is>
          <t>• Board-approved IS policy with version history
• Annual policy review minutes
• ISMS scope and continual-improvement plan</t>
        </is>
      </c>
      <c r="N63" s="5" t="inlineStr">
        <is>
          <t>• Information Security Policy</t>
        </is>
      </c>
      <c r="O63" s="5" t="inlineStr">
        <is>
          <t>https://e-qanun.az/frameworks/56/f_56708.html</t>
        </is>
      </c>
    </row>
    <row r="64">
      <c r="A64" s="5" t="inlineStr">
        <is>
          <t>CB-02</t>
        </is>
      </c>
      <c r="B64" s="5" t="inlineStr">
        <is>
          <t>Mərkəzi Bank</t>
        </is>
      </c>
      <c r="C64" s="5" t="inlineStr">
        <is>
          <t>CBAR İnformasiya təhlükəsizliyi Tələbləri (14/2)</t>
        </is>
      </c>
      <c r="D64" s="5" t="inlineStr">
        <is>
          <t>Bənd 3.3, 3.3.4, 3.3.5, 8.1</t>
        </is>
      </c>
      <c r="E64" s="5" t="inlineStr">
        <is>
          <t>İnformasiya təhlükəsizliyi üzrə məsul şəxs təyin edin; 5 iş günü ərzində Mərkəzi Banka yazılı bildirin.</t>
        </is>
      </c>
      <c r="F64" s="5" t="inlineStr">
        <is>
          <t>Appoint an information security officer (CISO) with defined duties incl. quarterly IS risk reporting to management; notify CBAR in writing within 5 business days of appointment or change.</t>
        </is>
      </c>
      <c r="G64" s="5" t="inlineStr">
        <is>
          <t>3.3. İTİS-ə bilavasitə nəzarətin həyata keçirilməsi üçün nəzarət subyekti tərəfindən informasiya təhlükəsizliyi üzrə məsul şəxs təyin edilir. İnformasiya təhlükəsizliyi üzrə məsul şəxsin əsas vəzifələri aşağıdakılardır:
3.3.4. rüblük əsasda nəzarət subyektində informasiya təhlükəsizliyi vəziyyəti və informasiya təhlükəsizliyi riskləri ilə bağlı rəhbərliyə hesabat təqdim edir;
3.3.5. informasiya təhlükəsizliyi tələblərindən kənarlaşmalar baş verdikdə səbəbləri göstərilməklə bu barədə rəhbərliyi dərhal məlumatlandırır;
8.1. Nəzarət subyekti bu Tələblərin 3.3-cü bəndinə əsasən təyin edilmiş informasiya təhlükəsizliyi üzrə məsul şəxsin soyadı, adı, atasının adı, ünvanı, əlaqə vasitələri barədə məlumatı, habelə təyin edilməsi barədə qərarın surətini təyin edilmə tarixindən, habelə bu məlumatlarda dəyişiklik olduqda, dəyişikliyin baş verdiyi tarixdən 5 (beş) iş günü ərzində bu barədə məlumatı Mərkəzi Banka yazılı şəkildə təqdim edir.</t>
        </is>
      </c>
      <c r="H64" s="5" t="inlineStr">
        <is>
          <t>Banks (I kateqoriya nəzarət subyekti / Category I supervised entity; same rule also binds the other supervised entities in 1.1)</t>
        </is>
      </c>
      <c r="I64" s="5" t="inlineStr">
        <is>
          <t>Regulatory</t>
        </is>
      </c>
      <c r="J64" s="5" t="inlineStr">
        <is>
          <t>on event (appointment/change: CBAR notice ≤5 business days); quarterly management report</t>
        </is>
      </c>
      <c r="K64" s="6" t="inlineStr">
        <is>
          <t>Yüksək</t>
        </is>
      </c>
      <c r="L64" s="5" t="inlineStr">
        <is>
          <t>Azərbaycan Respublikasının Mərkəzi Bankı</t>
        </is>
      </c>
      <c r="M64" s="5" t="inlineStr">
        <is>
          <t>• CISO appointment decision and job description
• Quarterly IS status/risk report to management
• CBAR notification log for CISO changes</t>
        </is>
      </c>
      <c r="N64" s="5" t="inlineStr">
        <is>
          <t>• Information Security Policy
• IS Governance / Roles and Responsibilities</t>
        </is>
      </c>
      <c r="O64" s="5" t="inlineStr">
        <is>
          <t>https://e-qanun.az/frameworks/56/f_56708.html</t>
        </is>
      </c>
    </row>
    <row r="65">
      <c r="A65" s="5" t="inlineStr">
        <is>
          <t>CB-03</t>
        </is>
      </c>
      <c r="B65" s="5" t="inlineStr">
        <is>
          <t>Mərkəzi Bank</t>
        </is>
      </c>
      <c r="C65" s="5" t="inlineStr">
        <is>
          <t>CBAR İnformasiya təhlükəsizliyi Tələbləri (14/2)</t>
        </is>
      </c>
      <c r="D65" s="5" t="inlineStr">
        <is>
          <t>Bənd 4.1, 4.2</t>
        </is>
      </c>
      <c r="E65" s="5" t="inlineStr">
        <is>
          <t>İT-dən ayrı, fərqli kuratora tabe müstəqil informasiya təhlükəsizliyi bölməsi yaradın; toqquşan vəzifələri ayırın.</t>
        </is>
      </c>
      <c r="F65" s="5" t="inlineStr">
        <is>
          <t>Set up an independent information security unit separate from IT and reporting to a different executive; segregate conflicting duties.</t>
        </is>
      </c>
      <c r="G65" s="5" t="inlineStr">
        <is>
          <t>4.1. Nəzarət subyektində informasiya təhlükəsizliyinə cavabdeh müstəqil struktur bölmə formalaşdırılır, bu struktur bölmənin, habelə digər personalın informasiya təhlükəsizliyi ilə bağlı vəzifələri və bu vəzifələr üzrə öhdəlik və səlahiyyətləri müəyyən edilir. Maraqlar münaqişəsinin qarşısını almaq məqsədilə informasiya təhlükəsizliyinə cavabdeh struktur bölmənin informasiya texnologiyalarına cavabdeh struktur bölmədən ayrı yaradılması və fərqli kuratorlara tabe olması təmin edilir.
4.2. İnformasiya və digər əlaqəli aktivlərin icazəsiz, qeyri-ixtiyari dəyişdirilməsi və ya sui-istifadəsi hallarının məhdudlaşdırılması üçün nəzarət subyekti toqquşan vəzifələrin və öhdəlik sahələrinin bir-birindən ayrılmasını təmin edir.</t>
        </is>
      </c>
      <c r="H65" s="5" t="inlineStr">
        <is>
          <t>Banks (I kateqoriya nəzarət subyekti / Category I supervised entity; same rule also binds the other supervised entities in 1.1)</t>
        </is>
      </c>
      <c r="I65" s="5" t="inlineStr">
        <is>
          <t>Regulatory</t>
        </is>
      </c>
      <c r="J65" s="5" t="inlineStr">
        <is>
          <t>ongoing</t>
        </is>
      </c>
      <c r="K65" s="6" t="inlineStr">
        <is>
          <t>Yüksək</t>
        </is>
      </c>
      <c r="L65" s="5" t="inlineStr">
        <is>
          <t>Azərbaycan Respublikasının Mərkəzi Bankı</t>
        </is>
      </c>
      <c r="M65" s="5" t="inlineStr">
        <is>
          <t>• Org chart showing IS unit reporting line distinct from IT
• Segregation-of-duties matrix
• Periodic SoD conflict review</t>
        </is>
      </c>
      <c r="N65" s="5" t="inlineStr">
        <is>
          <t>• IS Governance / Roles and Responsibilities</t>
        </is>
      </c>
      <c r="O65" s="5" t="inlineStr">
        <is>
          <t>https://e-qanun.az/frameworks/56/f_56708.html</t>
        </is>
      </c>
    </row>
    <row r="66">
      <c r="A66" s="5" t="inlineStr">
        <is>
          <t>CB-04</t>
        </is>
      </c>
      <c r="B66" s="5" t="inlineStr">
        <is>
          <t>Mərkəzi Bank</t>
        </is>
      </c>
      <c r="C66" s="5" t="inlineStr">
        <is>
          <t>CBAR İnformasiya təhlükəsizliyi Tələbləri (14/2)</t>
        </is>
      </c>
      <c r="D66" s="5" t="inlineStr">
        <is>
          <t>Bənd 3.7, 3.7.1, 8.2</t>
        </is>
      </c>
      <c r="E66" s="5" t="inlineStr">
        <is>
          <t>İTİS-i ildə azı bir dəfə akkreditə olunmuş kənar auditora yoxlatdırın; rəyi 5 iş günü ərzində Mərkəzi Banka təqdim edin.</t>
        </is>
      </c>
      <c r="F66" s="5" t="inlineStr">
        <is>
          <t>Have the ISMS audited at least annually by an internationally accredited external auditor with ≥3 years financial-sector IS audit experience; submit the opinion to CBAR within 5 business days.</t>
        </is>
      </c>
      <c r="G66" s="5" t="inlineStr">
        <is>
          <t>3.7. Bu Tələblərə uyğunluğun qiymətləndirilməsi üçün nəzarət subyektində İTİS informasiya təhlükəsizliyinin yoxlanılması sahəsində beynəlxalq səviyyədə akkreditasiya edilmiş və maliyyə bazarlarında informasiya təhlükəsizliyinin yoxlanılması üzrə azı 3 (üç) il təcrübəyə malik kənar auditor tərəfindən aşağıdakı dövriliklə yoxlanılır:
3.7.1. I kateqoriya nəzarət subyektlərində ildə 1 (bir) dəfədən az olmayaraq;
8.2. Nəzarət subyekti bu Tələblərin 3.7-ci və 3.8-ci bəndlərinə əsasən əldə etdiyi kənar auditor rəylərini, habelə bu Tələblərin 3.8-ci bəndinə əsasən əldə etdiyi tələblərə uyğunluq üzrə sənədin surətini 5 (beş) iş günü ərzində Mərkəzi Banka təqdim edir.</t>
        </is>
      </c>
      <c r="H66" s="5" t="inlineStr">
        <is>
          <t>Banks (I kateqoriya nəzarət subyekti / Category I supervised entity; same rule also binds the other supervised entities in 1.1)</t>
        </is>
      </c>
      <c r="I66" s="5" t="inlineStr">
        <is>
          <t>Regulatory</t>
        </is>
      </c>
      <c r="J66" s="5" t="inlineStr">
        <is>
          <t>annual; CBAR submission ≤5 business days after receipt</t>
        </is>
      </c>
      <c r="K66" s="6" t="inlineStr">
        <is>
          <t>Yüksək</t>
        </is>
      </c>
      <c r="L66" s="5" t="inlineStr">
        <is>
          <t>Azərbaycan Respublikasının Mərkəzi Bankı</t>
        </is>
      </c>
      <c r="M66" s="5" t="inlineStr">
        <is>
          <t>• Auditor accreditation and experience check
• Annual external ISMS audit plan
• Submission evidence to CBAR</t>
        </is>
      </c>
      <c r="N66" s="5" t="inlineStr">
        <is>
          <t>• Information Security Policy</t>
        </is>
      </c>
      <c r="O66" s="5" t="inlineStr">
        <is>
          <t>https://e-qanun.az/frameworks/56/f_56708.html</t>
        </is>
      </c>
    </row>
    <row r="67">
      <c r="A67" s="5" t="inlineStr">
        <is>
          <t>CB-05</t>
        </is>
      </c>
      <c r="B67" s="5" t="inlineStr">
        <is>
          <t>Mərkəzi Bank</t>
        </is>
      </c>
      <c r="C67" s="5" t="inlineStr">
        <is>
          <t>CBAR İnformasiya təhlükəsizliyi Tələbləri (14/2)</t>
        </is>
      </c>
      <c r="D67" s="5" t="inlineStr">
        <is>
          <t>Bənd 3.8, 8.2</t>
        </is>
      </c>
      <c r="E67" s="5" t="inlineStr">
        <is>
          <t>Kart əməliyyatları emal edən bank ildə bir dəfə kart məlumatları təhlükəsizlik standartına uyğunluq auditi keçirsin.</t>
        </is>
      </c>
      <c r="F67" s="5" t="inlineStr">
        <is>
          <t>Banks processing card transaction data or providing card issuing/acquiring technical services must undergo an annual accredited external audit against card-data security standards and send CBAR the auditor report and compliance document within 5 business days.</t>
        </is>
      </c>
      <c r="G67" s="5" t="inlineStr">
        <is>
          <t>3.8. Ödəniş kartları vasitəsilə aparılmış əməliyyatlar haqqında məlumatların toplanması, emalı və ötürülməsinə, həmçinin kart emissiyasına və ekvayrinqinə texniki xidmət göstərilməsi üzrə fəaliyyəti həyata keçirən ödəniş sistemlərinin operatorları və banklar əlavə olaraq bu sahə üzrə informasiya təhlükəsizliyi standartlarına uyğunluğun yoxlanılması sahəsində beynəlxalq səviyyədə akkreditasiya edilmiş kənar auditor tərəfindən ildə 1 (bir) dəfədən az olmayaraq yoxlanılır.
8.2. Nəzarət subyekti bu Tələblərin 3.7-ci və 3.8-ci bəndlərinə əsasən əldə etdiyi kənar auditor rəylərini, habelə bu Tələblərin 3.8-ci bəndinə əsasən əldə etdiyi tələblərə uyğunluq üzrə sənədin surətini 5 (beş) iş günü ərzində Mərkəzi Banka təqdim edir.</t>
        </is>
      </c>
      <c r="H67" s="5" t="inlineStr">
        <is>
          <t>Banks performing card data processing / card issuing or acquiring technical services (and payment system operators)</t>
        </is>
      </c>
      <c r="I67" s="5" t="inlineStr">
        <is>
          <t>Regulatory</t>
        </is>
      </c>
      <c r="J67" s="5" t="inlineStr">
        <is>
          <t>annual; CBAR submission ≤5 business days</t>
        </is>
      </c>
      <c r="K67" s="6" t="inlineStr">
        <is>
          <t>Yüksək</t>
        </is>
      </c>
      <c r="L67" s="5" t="inlineStr">
        <is>
          <t>Azərbaycan Respublikasının Mərkəzi Bankı</t>
        </is>
      </c>
      <c r="M67" s="5" t="inlineStr">
        <is>
          <t>• Annual card-data security standard assessment (e.g. PCI DSS QSA)
• Copy of attestation sent to CBAR</t>
        </is>
      </c>
      <c r="N67" s="5" t="inlineStr">
        <is>
          <t>• Information Security Policy
• Payment Card Security Procedures</t>
        </is>
      </c>
      <c r="O67" s="5" t="inlineStr">
        <is>
          <t>https://e-qanun.az/frameworks/56/f_56708.html</t>
        </is>
      </c>
    </row>
    <row r="68">
      <c r="A68" s="5" t="inlineStr">
        <is>
          <t>CB-06</t>
        </is>
      </c>
      <c r="B68" s="5" t="inlineStr">
        <is>
          <t>Mərkəzi Bank</t>
        </is>
      </c>
      <c r="C68" s="5" t="inlineStr">
        <is>
          <t>CBAR İnformasiya təhlükəsizliyi Tələbləri (14/2)</t>
        </is>
      </c>
      <c r="D68" s="5" t="inlineStr">
        <is>
          <t>Bənd 4.6.1, 4.6.2, 4.6.5</t>
        </is>
      </c>
      <c r="E68" s="5" t="inlineStr">
        <is>
          <t>Aktivləri inventarlaşdırın, aktiv sahiblərini təyin edin, informasiyanı təsnifləşdirin.</t>
        </is>
      </c>
      <c r="F68" s="5" t="inlineStr">
        <is>
          <t>Maintain an up-to-date inventory of information and related assets, assign asset owners, and classify information by CIA, value and sensitivity.</t>
        </is>
      </c>
      <c r="G68" s="5" t="inlineStr">
        <is>
          <t>4.6.1. informasiya və digər əlaqəli aktivlər müəyyənləşdirilir və inventarizasiyası aparılmaqla aktuallığı təmin edilir;
4.6.2. inventarizasiya edilmiş aktivlər üzrə onların bütün istifadə dövründə düzgün idarə edilməsinə məsul olan aktiv sahibləri müəyyən edilir;
4.6.5. informasiyanın tamlıq, konfidensiallıq, əlçatanlıq xüsusiyyətləri, dəyəri, əhəmiyyətliliyi, icazəsiz açıqlanma və ya dəyişikliyə qarşı həssaslığı, maraqlı tərəflərin tələbləri, habelə qanunvericiliyin tələbləri nəzərə alınmaqla informasiyanın təsnifatı həyata keçirilir;</t>
        </is>
      </c>
      <c r="H68" s="5" t="inlineStr">
        <is>
          <t>Banks (I kateqoriya nəzarət subyekti / Category I supervised entity; same rule also binds the other supervised entities in 1.1)</t>
        </is>
      </c>
      <c r="I68" s="5" t="inlineStr">
        <is>
          <t>Regulatory</t>
        </is>
      </c>
      <c r="J68" s="5" t="inlineStr">
        <is>
          <t>ongoing</t>
        </is>
      </c>
      <c r="K68" s="7" t="inlineStr">
        <is>
          <t>Orta</t>
        </is>
      </c>
      <c r="L68" s="5" t="inlineStr">
        <is>
          <t>Azərbaycan Respublikasının Mərkəzi Bankı</t>
        </is>
      </c>
      <c r="M68" s="5" t="inlineStr">
        <is>
          <t>• Asset register (CMDB) with owners
• Information classification scheme
• Periodic inventory reconciliation</t>
        </is>
      </c>
      <c r="N68" s="5" t="inlineStr">
        <is>
          <t>• Asset Management and Acceptable Use Rules
• Information Classification and Labelling Rules</t>
        </is>
      </c>
      <c r="O68" s="5" t="inlineStr">
        <is>
          <t>https://e-qanun.az/frameworks/56/f_56708.html</t>
        </is>
      </c>
    </row>
    <row r="69">
      <c r="A69" s="5" t="inlineStr">
        <is>
          <t>CB-07</t>
        </is>
      </c>
      <c r="B69" s="5" t="inlineStr">
        <is>
          <t>Mərkəzi Bank</t>
        </is>
      </c>
      <c r="C69" s="5" t="inlineStr">
        <is>
          <t>CBAR İnformasiya təhlükəsizliyi Tələbləri (14/2)</t>
        </is>
      </c>
      <c r="D69" s="5" t="inlineStr">
        <is>
          <t>Bənd 4.7, 4.7.3, 4.7.4, 4.7.5</t>
        </is>
      </c>
      <c r="E69" s="5" t="inlineStr">
        <is>
          <t>Giriş qaydalarını təsdiqləyin; ən az səlahiyyət verin, istifadə olunmayan hesabları bloklayın, ayrılanlarda dərhal ləğv edin.</t>
        </is>
      </c>
      <c r="F69" s="5" t="inlineStr">
        <is>
          <t>Approve access-control rules: least privilege, block dormant accounts, and immediately revoke/adjust access on termination or change of staff/supplier contracts.</t>
        </is>
      </c>
      <c r="G69" s="5" t="inlineStr">
        <is>
          <t>4.7. Biznes və informasiya təhlükəsizliyi tələbləri əsasında informasiya və digər əlaqəli aktivlərə girişlər üzrə azı aşağıdakılar nəzərə alınmaqla qaydalar hazırlanır və təsdiq edilir:
4.7.3. nəzarət subyekti tərəfindən müəyyən edilmiş müddət ərzində istifadə edilməyən, habelə aktuallığını itirmiş giriş hesablarının bloklanması;
4.7.4. müvafiq informasiya və digər əlaqəli aktivlər üzrə giriş hüquqlarının yalnız həvalə edilmiş vəzifələrin icrası üçün zəruri olan hədlərdə verilməsi;
4.7.5. personal və təchizatçılarla müqavilə münasibətlərinə xitam verildikdə və ya dəyişdirildikdə müvafiq olaraq onların informasiya və digər əlaqəli aktivlərə giriş hüquqlarının dərhal ləğv edilməsi və ya dəyişikliyə uyğunlaşdırılması;</t>
        </is>
      </c>
      <c r="H69" s="5" t="inlineStr">
        <is>
          <t>Banks (I kateqoriya nəzarət subyekti / Category I supervised entity; same rule also binds the other supervised entities in 1.1)</t>
        </is>
      </c>
      <c r="I69" s="5" t="inlineStr">
        <is>
          <t>Regulatory</t>
        </is>
      </c>
      <c r="J69" s="5" t="inlineStr">
        <is>
          <t>ongoing; periodic access recertification</t>
        </is>
      </c>
      <c r="K69" s="6" t="inlineStr">
        <is>
          <t>Yüksək</t>
        </is>
      </c>
      <c r="L69" s="5" t="inlineStr">
        <is>
          <t>Azərbaycan Respublikasının Mərkəzi Bankı</t>
        </is>
      </c>
      <c r="M69" s="5" t="inlineStr">
        <is>
          <t>• Joiner-mover-leaver workflow with HR feed
• Dormant account auto-disable
• Periodic user access review</t>
        </is>
      </c>
      <c r="N69" s="5" t="inlineStr">
        <is>
          <t>• Access Control Rules
• Authentication (Password) Management Rules</t>
        </is>
      </c>
      <c r="O69" s="5" t="inlineStr">
        <is>
          <t>https://e-qanun.az/frameworks/56/f_56708.html</t>
        </is>
      </c>
    </row>
    <row r="70">
      <c r="A70" s="5" t="inlineStr">
        <is>
          <t>CB-08</t>
        </is>
      </c>
      <c r="B70" s="5" t="inlineStr">
        <is>
          <t>Mərkəzi Bank</t>
        </is>
      </c>
      <c r="C70" s="5" t="inlineStr">
        <is>
          <t>CBAR İnformasiya təhlükəsizliyi Tələbləri (14/2)</t>
        </is>
      </c>
      <c r="D70" s="5" t="inlineStr">
        <is>
          <t>Bənd 7.5, 7.5.1, 7.5.3, 7.5.4</t>
        </is>
      </c>
      <c r="E70" s="5" t="inlineStr">
        <is>
          <t>İmtiyazlı girişləri yalnız ehtiyac olduqda, gücləndirilmiş autentikasiya ilə verin; ayrıca hesablar və loqlama tətbiq edin.</t>
        </is>
      </c>
      <c r="F70" s="5" t="inlineStr">
        <is>
          <t>Grant privileged access only when needed with stronger authentication, use separate privileged accounts, and monitor and log privileged actions.</t>
        </is>
      </c>
      <c r="G70" s="5" t="inlineStr">
        <is>
          <t>7.5. İmtiyazlı giriş hüquqları azı aşağıdakı mühafizə tədbirləri və 7.4-cü bəndin tələbləri nəzərə alınmaqla yalnız icazə verilmiş personala, proqram təminatı komponentlərinə və servislərə verilməlidir:
7.5.1. imtiyazlı giriş hüquqlarının yalnız ehtiyac yarandığı təqdirdə verilməsi və adi giriş hüquqlarından daha yüksək autentikasiya tələblərinin tətbiq edilməsi;
7.5.3. imtiyazlı istifadəçilərin yalnız onlara aid imtiyazlı hesablardan istifadə etməsinin, habelə imtiyazlı hesabların gündəlik istifadəçi hesablarından ayrılmasının təmin edilməsi;
7.5.4. imtiyazlı giriş hüququ olan personalın hərəkətlərinin monitorinqi və loqlanması.</t>
        </is>
      </c>
      <c r="H70" s="5" t="inlineStr">
        <is>
          <t>Banks (I kateqoriya nəzarət subyekti / Category I supervised entity; same rule also binds the other supervised entities in 1.1)</t>
        </is>
      </c>
      <c r="I70" s="5" t="inlineStr">
        <is>
          <t>Regulatory</t>
        </is>
      </c>
      <c r="J70" s="5" t="inlineStr">
        <is>
          <t>ongoing</t>
        </is>
      </c>
      <c r="K70" s="6" t="inlineStr">
        <is>
          <t>Yüksək</t>
        </is>
      </c>
      <c r="L70" s="5" t="inlineStr">
        <is>
          <t>Azərbaycan Respublikasının Mərkəzi Bankı</t>
        </is>
      </c>
      <c r="M70" s="5" t="inlineStr">
        <is>
          <t>• PAM solution with session recording
• MFA for admin accounts
• Separate admin accounts
• Privileged activity log review</t>
        </is>
      </c>
      <c r="N70" s="5" t="inlineStr">
        <is>
          <t>• Access Control Rules</t>
        </is>
      </c>
      <c r="O70" s="5" t="inlineStr">
        <is>
          <t>https://e-qanun.az/frameworks/56/f_56708.html</t>
        </is>
      </c>
    </row>
    <row r="71">
      <c r="A71" s="5" t="inlineStr">
        <is>
          <t>CB-09</t>
        </is>
      </c>
      <c r="B71" s="5" t="inlineStr">
        <is>
          <t>Mərkəzi Bank</t>
        </is>
      </c>
      <c r="C71" s="5" t="inlineStr">
        <is>
          <t>CBAR İnformasiya təhlükəsizliyi Tələbləri (14/2)</t>
        </is>
      </c>
      <c r="D71" s="5" t="inlineStr">
        <is>
          <t>Bənd 4.9, 4.9.1, 4.9.2</t>
        </is>
      </c>
      <c r="E71" s="5" t="inlineStr">
        <is>
          <t>Təchizatçılarla İT tələblərini müqavilədə razılaşdırın; təchizatçı reyestri aparın və xidmətləri mütəmadi monitorinq edin.</t>
        </is>
      </c>
      <c r="F71" s="5" t="inlineStr">
        <is>
          <t>Agree and document IS requirements with suppliers that access bank assets, keep a supplier register and regularly monitor supplier services.</t>
        </is>
      </c>
      <c r="G71" s="5" t="inlineStr">
        <is>
          <t>4.9. Təchizatçılarla münasibətlərdə bu Tələblər ilə müəyyən edilmiş informasiya təhlükəsizliyi tələbləri gözlənilir, o cümlədən aşağıda qeyd edilən tədbirlərin icrası təmin edilir:
4.9.1. nəzarət subyektinin aktivlərinə giriş hüququ olan təchizatçılarla münasibətdə risklərin minimallaşdırılması məqsədilə informasiya təhlükəsizliyi tələblərinin tərəflər arasında razılaşdırılması və sənədləşdirilməsi;
4.9.2. təchizatçıların reyestrinin tərtib edilməsi və təchizatçıların göstərdikləri xidmətlərin nəzarət subyekti tərəfindən mütəmadi monitorinqinin aparılması;</t>
        </is>
      </c>
      <c r="H71" s="5" t="inlineStr">
        <is>
          <t>Banks (I kateqoriya nəzarət subyekti / Category I supervised entity; same rule also binds the other supervised entities in 1.1)</t>
        </is>
      </c>
      <c r="I71" s="5" t="inlineStr">
        <is>
          <t>Regulatory</t>
        </is>
      </c>
      <c r="J71" s="5" t="inlineStr">
        <is>
          <t>ongoing</t>
        </is>
      </c>
      <c r="K71" s="7" t="inlineStr">
        <is>
          <t>Orta</t>
        </is>
      </c>
      <c r="L71" s="5" t="inlineStr">
        <is>
          <t>Azərbaycan Respublikasının Mərkəzi Bankı</t>
        </is>
      </c>
      <c r="M71" s="5" t="inlineStr">
        <is>
          <t>• Supplier register
• IS clauses in contracts
• Periodic supplier risk assessment and monitoring</t>
        </is>
      </c>
      <c r="N71" s="5" t="inlineStr">
        <is>
          <t>• Supplier (Third-Party) Information Security Rules</t>
        </is>
      </c>
      <c r="O71" s="5" t="inlineStr">
        <is>
          <t>https://e-qanun.az/frameworks/56/f_56708.html</t>
        </is>
      </c>
    </row>
    <row r="72">
      <c r="A72" s="5" t="inlineStr">
        <is>
          <t>CB-10</t>
        </is>
      </c>
      <c r="B72" s="5" t="inlineStr">
        <is>
          <t>Mərkəzi Bank</t>
        </is>
      </c>
      <c r="C72" s="5" t="inlineStr">
        <is>
          <t>CBAR İnformasiya təhlükəsizliyi Tələbləri (14/2)</t>
        </is>
      </c>
      <c r="D72" s="5" t="inlineStr">
        <is>
          <t>Bənd 4.10.1, 4.10.2, 4.10.2.5, 4.10.2.8</t>
        </is>
      </c>
      <c r="E72" s="5" t="inlineStr">
        <is>
          <t>Bulud xidmətləri üzrə qaydaları təsdiqləyin; həssas məlumatı yalnız Azərbaycanda saxlayın, subpodratı qadağan edin.</t>
        </is>
      </c>
      <c r="F72" s="5" t="inlineStr">
        <is>
          <t>Adopt cloud-service rules; cloud contracts must meet the IS policy, keep sensitive data only in Azerbaijan, and prohibit the provider from sub-contracting the cloud service.</t>
        </is>
      </c>
      <c r="G72" s="5" t="inlineStr">
        <is>
          <t>4.10.1. azı aşağıdakılar nəzərə alınmaqla qaydalar hazırlanır və təsdiq edilir:
4.10.2. “bulud” xidməti müqavilələri nəzarət subyektinin informasiyanın təhlükəsizliyi siyasətinin tələblərinə cavab verməlidir. Nəzarət subyektinin sahib olduğu informasiyanın və xidmətlərinin əlçatanlığının qorunması üçün “bulud” xidməti müqavilələrində aşağıdakı şərtlər gözlənilməlidir:
4.10.2.5. nəzarət subyektinin sahib olduğu həssas informasiyanın yalnız Azərbaycan Respublikasının ərazisində saxlanması;
4.10.2.8. “bulud” xidmətlərinin “bulud” xidməti təchizatçısı tərəfindən submüqavilə əsasında üçüncü tərəf vasitəsilə təqdim edilməsinin qadağan edilməsi;</t>
        </is>
      </c>
      <c r="H72" s="5" t="inlineStr">
        <is>
          <t>Banks (I kateqoriya nəzarət subyekti / Category I supervised entity; same rule also binds the other supervised entities in 1.1)</t>
        </is>
      </c>
      <c r="I72" s="5" t="inlineStr">
        <is>
          <t>Regulatory</t>
        </is>
      </c>
      <c r="J72" s="5" t="inlineStr">
        <is>
          <t>ongoing; before cloud onboarding and at contract renewal</t>
        </is>
      </c>
      <c r="K72" s="6" t="inlineStr">
        <is>
          <t>Yüksək</t>
        </is>
      </c>
      <c r="L72" s="5" t="inlineStr">
        <is>
          <t>Azərbaycan Respublikasının Mərkəzi Bankı</t>
        </is>
      </c>
      <c r="M72" s="5" t="inlineStr">
        <is>
          <t>• Cloud due-diligence checklist (ISO/IEC, PCI DSS, Uptime Tier)
• Data-residency verification
• Contract clause checklist per 4.10.2
• Exit strategy</t>
        </is>
      </c>
      <c r="N72" s="5" t="inlineStr">
        <is>
          <t>• Cloud Services Rules
• Supplier (Third-Party) Information Security Rules</t>
        </is>
      </c>
      <c r="O72" s="5" t="inlineStr">
        <is>
          <t>https://e-qanun.az/frameworks/56/f_56708.html</t>
        </is>
      </c>
    </row>
    <row r="73">
      <c r="A73" s="5" t="inlineStr">
        <is>
          <t>CB-11</t>
        </is>
      </c>
      <c r="B73" s="5" t="inlineStr">
        <is>
          <t>Mərkəzi Bank</t>
        </is>
      </c>
      <c r="C73" s="5" t="inlineStr">
        <is>
          <t>CBAR İnformasiya təhlükəsizliyi Tələbləri (14/2)</t>
        </is>
      </c>
      <c r="D73" s="5" t="inlineStr">
        <is>
          <t>Bənd 4.11, 4.11.4, 4.11.6.3, 4.11.6.3.3</t>
        </is>
      </c>
      <c r="E73" s="5" t="inlineStr">
        <is>
          <t>İnsidentlərin idarə edilməsi qaydalarını təsdiqləyin; insidentləri aşağı/orta/yüksək kateqoriyalara bölün, dərhal məlumatlandırın.</t>
        </is>
      </c>
      <c r="F73" s="5" t="inlineStr">
        <is>
          <t>Approve incident management rules covering event triage, immediate notification and risk-based categorisation of incidents (low/medium/high).</t>
        </is>
      </c>
      <c r="G73" s="5" t="inlineStr">
        <is>
          <t>4.11. İnformasiya təhlükəsizliyi hadisələrinin kommunikasiyası daxil olmaqla informasiya təhlükəsizliyi insidentlərinin çevik, davamlı və effektiv idarə edilməsi məqsədilə nəzarət subyekti tərəfindən azı aşağıdakılar nəzərə alınmaqla informasiya təhlükəsizliyi insidentlərinin idarə edilməsi qaydaları hazırlanır və təsdiq edilir:
4.11.4. informasiya təhlükəsizliyi hadisələri və insidentlər barədə məlumatlandırmanın müvafiq kommunikasiya kanalları vasitəsilə dərhal həyata keçirilməsi;
4.11.6.3. insidentin risk əsaslı qiymətləndirilməsi, azı aşağıdakı meyarlar üzrə prioritetləşdirilməsi və kateqoriyalaşdırılması:
4.11.6.3.3. yüksək - insident nəticəsində nəzarət subyekti hər hansı kritik biznes proses üzrə fəaliyyətini həyata keçirə bilmir;</t>
        </is>
      </c>
      <c r="H73" s="5" t="inlineStr">
        <is>
          <t>Banks (I kateqoriya nəzarət subyekti / Category I supervised entity; same rule also binds the other supervised entities in 1.1)</t>
        </is>
      </c>
      <c r="I73" s="5" t="inlineStr">
        <is>
          <t>Regulatory</t>
        </is>
      </c>
      <c r="J73" s="5" t="inlineStr">
        <is>
          <t>ongoing</t>
        </is>
      </c>
      <c r="K73" s="6" t="inlineStr">
        <is>
          <t>Yüksək</t>
        </is>
      </c>
      <c r="L73" s="5" t="inlineStr">
        <is>
          <t>Azərbaycan Respublikasının Mərkəzi Bankı</t>
        </is>
      </c>
      <c r="M73" s="5" t="inlineStr">
        <is>
          <t>• Incident response playbooks
• Incident register and classification matrix
• Post-incident root-cause analysis and knowledge base</t>
        </is>
      </c>
      <c r="N73" s="5" t="inlineStr">
        <is>
          <t>• Information Security Incident Management Rules</t>
        </is>
      </c>
      <c r="O73" s="5" t="inlineStr">
        <is>
          <t>https://e-qanun.az/frameworks/56/f_56708.html</t>
        </is>
      </c>
    </row>
    <row r="74">
      <c r="A74" s="5" t="inlineStr">
        <is>
          <t>CB-12</t>
        </is>
      </c>
      <c r="B74" s="5" t="inlineStr">
        <is>
          <t>Mərkəzi Bank</t>
        </is>
      </c>
      <c r="C74" s="5" t="inlineStr">
        <is>
          <t>CBAR İnformasiya təhlükəsizliyi Tələbləri (14/2)</t>
        </is>
      </c>
      <c r="D74" s="5" t="inlineStr">
        <is>
          <t>Bənd 8.3, 8.4</t>
        </is>
      </c>
      <c r="E74" s="5" t="inlineStr">
        <is>
          <t>Yüksək kateqoriyalı insident barədə 4 saat ərzində ilkin, aradan qaldırıldıqdan 5 iş günü ərzində yekun hesabat verin.</t>
        </is>
      </c>
      <c r="F74" s="5" t="inlineStr">
        <is>
          <t>Report high-category incidents to CBAR via the dedicated exchange system: initial report within 4 hours of occurrence/detection (next business day's first hour if outside business hours) and final report within 5 business days of full resolution.</t>
        </is>
      </c>
      <c r="G74" s="5" t="inlineStr">
        <is>
          <t>8.3. Nəzarət subyekti yüksək kateqoriyalı insident barədə bu Qaydaya 1 nömrəli Əlavədə göstərilən ilkin hesabatı insident baş verdiyi və ya aşkar olunduğu andan etibarən 4 (dörd) saat ərzində xüsusi təyinatlı informasiya mübadilə sistemi vasitəsilə Mərkəzi Banka təqdim edir. Bu müddət qeyri-iş saatlarına təsadüf etdikdə, məlumat növbəti iş gününün ilk iş saatı ərzində Mərkəzi Banka təqdim edilir.
8.4. Nəzarət subyekti insident tam aradan qaldırıldığı vaxtdan 5 (beş) iş günü ərzində bu Qaydaya 2 nömrəli Əlavədə göstərilən yekun hesabatı xüsusi təyinatlı informasiya mübadilə sistemi vasitəsilə Mərkəzi Banka təqdim edir.</t>
        </is>
      </c>
      <c r="H74" s="5" t="inlineStr">
        <is>
          <t>Banks (I kateqoriya nəzarət subyekti / Category I supervised entity; same rule also binds the other supervised entities in 1.1)</t>
        </is>
      </c>
      <c r="I74" s="5" t="inlineStr">
        <is>
          <t>Regulatory</t>
        </is>
      </c>
      <c r="J74" s="5" t="inlineStr">
        <is>
          <t>on event: initial ≤4 hours; final ≤5 business days after resolution</t>
        </is>
      </c>
      <c r="K74" s="6" t="inlineStr">
        <is>
          <t>Yüksək</t>
        </is>
      </c>
      <c r="L74" s="5" t="inlineStr">
        <is>
          <t>Azərbaycan Respublikasının Mərkəzi Bankı</t>
        </is>
      </c>
      <c r="M74" s="5" t="inlineStr">
        <is>
          <t>• Regulatory reporting runbook with Annex 1/2 templates
• 24x7 on-call escalation to CISO
• Reporting SLA tracking</t>
        </is>
      </c>
      <c r="N74" s="5" t="inlineStr">
        <is>
          <t>• Information Security Incident Management Rules</t>
        </is>
      </c>
      <c r="O74" s="5" t="inlineStr">
        <is>
          <t>https://e-qanun.az/frameworks/56/f_56708.html</t>
        </is>
      </c>
    </row>
    <row r="75">
      <c r="A75" s="5" t="inlineStr">
        <is>
          <t>CB-13</t>
        </is>
      </c>
      <c r="B75" s="5" t="inlineStr">
        <is>
          <t>Mərkəzi Bank</t>
        </is>
      </c>
      <c r="C75" s="5" t="inlineStr">
        <is>
          <t>CBAR İnformasiya təhlükəsizliyi Tələbləri (14/2)</t>
        </is>
      </c>
      <c r="D75" s="5" t="inlineStr">
        <is>
          <t>Bənd 4.12.1, 4.12.5, 8.5</t>
        </is>
      </c>
      <c r="E75" s="5" t="inlineStr">
        <is>
          <t>Biznesə təsir analizi aparın, fəaliyyətin davamlılığı və bərpa planı hazırlayın; kritik sistemlər barədə illik məlumat verin.</t>
        </is>
      </c>
      <c r="F75" s="5" t="inlineStr">
        <is>
          <t>Perform a business impact analysis, identify critical information systems, document BC/DR plans (incl. RPO/RTO), and report critical systems and related assets to CBAR annually.</t>
        </is>
      </c>
      <c r="G75" s="5" t="inlineStr">
        <is>
          <t>4.12.1. biznesə təsir analizi aparılır, biznes prosesləri kritiklik səviyyəsi üzrə təsnifləşdirilir, kritik informasiya sistemi və əlaqəli aktivlər müəyyən edilir;
4.12.5. azı aşağıdakıları nəzərdə tutan fövqəladə hallarda fəaliyyətin davamlılığı və bərpası plan(lar)ı hazırlanır və sənədləşdirilir:
8.5. Bu Tələblərin 4.12.1-ci yarımbəndinə əsasən müəyyən edilmiş kritik informasiya sistemi və əlaqəli aktivləri barədə aktual məlumatlar bu Tələblərə 3 nömrəli Əlavəyə uyğun olaraq hər təqvim ili üzrə növbəti ilin yanvar ayının ilk 10 (on) iş günü ərzində Mərkəzi Banka təqdim edilir.</t>
        </is>
      </c>
      <c r="H75" s="5" t="inlineStr">
        <is>
          <t>Banks (I kateqoriya nəzarət subyekti / Category I supervised entity; same rule also binds the other supervised entities in 1.1)</t>
        </is>
      </c>
      <c r="I75" s="5" t="inlineStr">
        <is>
          <t>Regulatory</t>
        </is>
      </c>
      <c r="J75" s="5" t="inlineStr">
        <is>
          <t>ongoing; CBAR report annually within first 10 business days of January</t>
        </is>
      </c>
      <c r="K75" s="6" t="inlineStr">
        <is>
          <t>Yüksək</t>
        </is>
      </c>
      <c r="L75" s="5" t="inlineStr">
        <is>
          <t>Azərbaycan Respublikasının Mərkəzi Bankı</t>
        </is>
      </c>
      <c r="M75" s="5" t="inlineStr">
        <is>
          <t>• BIA with criticality ratings
• BC/DR plans with RPO/RTO
• Annex 3 critical-systems report to CBAR</t>
        </is>
      </c>
      <c r="N75" s="5" t="inlineStr">
        <is>
          <t>• Business Continuity and Disaster Recovery Plan</t>
        </is>
      </c>
      <c r="O75" s="5" t="inlineStr">
        <is>
          <t>https://e-qanun.az/frameworks/56/f_56708.html</t>
        </is>
      </c>
    </row>
    <row r="76">
      <c r="A76" s="5" t="inlineStr">
        <is>
          <t>CB-14</t>
        </is>
      </c>
      <c r="B76" s="5" t="inlineStr">
        <is>
          <t>Mərkəzi Bank</t>
        </is>
      </c>
      <c r="C76" s="5" t="inlineStr">
        <is>
          <t>CBAR İnformasiya təhlükəsizliyi Tələbləri (14/2)</t>
        </is>
      </c>
      <c r="D76" s="5" t="inlineStr">
        <is>
          <t>Bənd 4.12.4, 4.13</t>
        </is>
      </c>
      <c r="E76" s="5" t="inlineStr">
        <is>
          <t>Qonşu olmayan iqtisadi rayonlarda əsas və ehtiyat iki məlumat emalı mərkəzi saxlayın.</t>
        </is>
      </c>
      <c r="F76" s="5" t="inlineStr">
        <is>
          <t>Operate two data processing centres (primary and backup) in non-adjacent economic regions of Azerbaijan and be able to run critical systems from the backup centre.</t>
        </is>
      </c>
      <c r="G76" s="5" t="inlineStr">
        <is>
          <t>4.12.4. fəaliyyətin davamlılığını təmin etmək məqsədilə nəzarət subyektinin Azərbaycan Respublikasının bir-biri ilə qonşu olmayan iqtisadi rayonlarında yerləşən 2 (iki) informasiyanın işlənməsi mərkəzinin (əsas və ehtiyat mərkəz) olması təmin edilir;
4.13. Nəzarət subyekti fövqəlaqə hallarda fəaliyyətinin davamlılığını təmin etmək məqsədilə kritik informasiya sistemlərinin və əlaqəli aktivlərin etibarlı, təhlükəsiz və davamlı fəaliyyətini ehtiyat mərkəzdən təmin edir.</t>
        </is>
      </c>
      <c r="H76" s="5" t="inlineStr">
        <is>
          <t>Banks (I kateqoriya nəzarət subyekti / Category I supervised entity; same rule also binds the other supervised entities in 1.1)</t>
        </is>
      </c>
      <c r="I76" s="5" t="inlineStr">
        <is>
          <t>Regulatory</t>
        </is>
      </c>
      <c r="J76" s="5" t="inlineStr">
        <is>
          <t>ongoing</t>
        </is>
      </c>
      <c r="K76" s="6" t="inlineStr">
        <is>
          <t>Yüksək</t>
        </is>
      </c>
      <c r="L76" s="5" t="inlineStr">
        <is>
          <t>Azərbaycan Respublikasının Mərkəzi Bankı</t>
        </is>
      </c>
      <c r="M76" s="5" t="inlineStr">
        <is>
          <t>• Primary/backup DC location evidence
• Replication of critical systems to backup DC</t>
        </is>
      </c>
      <c r="N76" s="5" t="inlineStr">
        <is>
          <t>• Business Continuity and Disaster Recovery Plan</t>
        </is>
      </c>
      <c r="O76" s="5" t="inlineStr">
        <is>
          <t>https://e-qanun.az/frameworks/56/f_56708.html</t>
        </is>
      </c>
    </row>
    <row r="77">
      <c r="A77" s="5" t="inlineStr">
        <is>
          <t>CB-15</t>
        </is>
      </c>
      <c r="B77" s="5" t="inlineStr">
        <is>
          <t>Mərkəzi Bank</t>
        </is>
      </c>
      <c r="C77" s="5" t="inlineStr">
        <is>
          <t>CBAR İnformasiya təhlükəsizliyi Tələbləri (14/2)</t>
        </is>
      </c>
      <c r="D77" s="5" t="inlineStr">
        <is>
          <t>Bənd 4.14, 8.6</t>
        </is>
      </c>
      <c r="E77" s="5" t="inlineStr">
        <is>
          <t>Bərpa planını ehtiyat mərkəzdə ildə iki dəfə sınayın; Mərkəzi Banka 5 iş günü əvvəl bildirin, 7 iş günündə hesabat verin.</t>
        </is>
      </c>
      <c r="F77" s="5" t="inlineStr">
        <is>
          <t>Test the BC/DR plan via the backup centre at least twice a year (retest within 2 months if failed); notify CBAR 5 business days before and report results within 7 business days.</t>
        </is>
      </c>
      <c r="G77" s="5" t="inlineStr">
        <is>
          <t>4.14. Fövqəladə hallarda fəaliyyətin davamlılığı və bərpası planı ehtiyat mərkəz üzərindən müxtəlif ssenarilər əsasında ildə azı 2 (iki) dəfə sınaqdan keçirilir, nəticələri sənədləşdirilir və sınağın nəticəsi uğursuz olduqda nəzarət subyekti növbəti 2 (iki) ay ərzində yenidən ehtiyat mərkəz vasitəsilə sınaq yoxlaması aparır və nəticəsi sənədləşdirilir.
8.6. Nəzarət subyekti bu Tələblərin 4.14-cü bəndinə müvafiq olaraq sınağı həyata keçirməmişdən 5 (beş) iş günü əvvəl Mərkəzi Bankı bu barədə məlumatlandırır, sınaq başa çatdıqdan sonra isə 7 (yeddi) iş günü müddətində nəticəsi barədə bu Tələblərə 4 nömrəli Əlavədə göstərilən hesabatı təqdim edir.</t>
        </is>
      </c>
      <c r="H77" s="5" t="inlineStr">
        <is>
          <t>Banks (I kateqoriya nəzarət subyekti / Category I supervised entity; same rule also binds the other supervised entities in 1.1)</t>
        </is>
      </c>
      <c r="I77" s="5" t="inlineStr">
        <is>
          <t>Regulatory</t>
        </is>
      </c>
      <c r="J77" s="5" t="inlineStr">
        <is>
          <t>semi-annual; CBAR notice T-5 business days; report ≤7 business days after test</t>
        </is>
      </c>
      <c r="K77" s="6" t="inlineStr">
        <is>
          <t>Yüksək</t>
        </is>
      </c>
      <c r="L77" s="5" t="inlineStr">
        <is>
          <t>Azərbaycan Respublikasının Mərkəzi Bankı</t>
        </is>
      </c>
      <c r="M77" s="5" t="inlineStr">
        <is>
          <t>• DR test calendar
• Annex 4 switchover report
• Retest tracking for failed tests</t>
        </is>
      </c>
      <c r="N77" s="5" t="inlineStr">
        <is>
          <t>• Business Continuity and Disaster Recovery Plan</t>
        </is>
      </c>
      <c r="O77" s="5" t="inlineStr">
        <is>
          <t>https://e-qanun.az/frameworks/56/f_56708.html</t>
        </is>
      </c>
    </row>
    <row r="78">
      <c r="A78" s="5" t="inlineStr">
        <is>
          <t>CB-16</t>
        </is>
      </c>
      <c r="B78" s="5" t="inlineStr">
        <is>
          <t>Mərkəzi Bank</t>
        </is>
      </c>
      <c r="C78" s="5" t="inlineStr">
        <is>
          <t>CBAR İnformasiya təhlükəsizliyi Tələbləri (14/2)</t>
        </is>
      </c>
      <c r="D78" s="5" t="inlineStr">
        <is>
          <t>Bənd 7.8, 7.8.3, 7.8.6</t>
        </is>
      </c>
      <c r="E78" s="5" t="inlineStr">
        <is>
          <t>Kritik sistemlərin ehtiyat nüsxələrini şifrələnmiş saxlayın, ildə azı iki dəfə bərpa sınağı edin.</t>
        </is>
      </c>
      <c r="F78" s="5" t="inlineStr">
        <is>
          <t>Adopt backup rules for critical systems: encrypt backups of sensitive data and test restores at least twice a year with documented results.</t>
        </is>
      </c>
      <c r="G78" s="5" t="inlineStr">
        <is>
          <t>7.8. İnformasiya itkisinin qarşısının alınması məqsədilə kritik informasiya sistemlərinin ehtiyat nüsxələrinin yaradılması, həmçinin bərpa prosesinin testləşdirilməsi üzrə azı aşağıdakıları əhatə edən qaydalar qəbul edilir və tətbiqi təmin edilir:
7.8.3. həssas informasiyanın ehtiyat nüsxələrinin şifrələnmiş şəkildə saxlanılmasının təmin edilməsi;
7.8.6. ehtiyat nüsxələrin ildə 2 (iki) dəfədən az olmamaqla sınaq bərpasının həyata keçirilməsi və nəticələrinin sənədləşdirilməsi;</t>
        </is>
      </c>
      <c r="H78" s="5" t="inlineStr">
        <is>
          <t>Banks (I kateqoriya nəzarət subyekti / Category I supervised entity; same rule also binds the other supervised entities in 1.1)</t>
        </is>
      </c>
      <c r="I78" s="5" t="inlineStr">
        <is>
          <t>Regulatory</t>
        </is>
      </c>
      <c r="J78" s="5" t="inlineStr">
        <is>
          <t>ongoing; restore test semi-annual</t>
        </is>
      </c>
      <c r="K78" s="7" t="inlineStr">
        <is>
          <t>Orta</t>
        </is>
      </c>
      <c r="L78" s="5" t="inlineStr">
        <is>
          <t>Azərbaycan Respublikasının Mərkəzi Bankı</t>
        </is>
      </c>
      <c r="M78" s="5" t="inlineStr">
        <is>
          <t>• Centralised backup tool
• Backup encryption
• Semi-annual restore test reports</t>
        </is>
      </c>
      <c r="N78" s="5" t="inlineStr">
        <is>
          <t>• Backup and Restore Rules</t>
        </is>
      </c>
      <c r="O78" s="5" t="inlineStr">
        <is>
          <t>https://e-qanun.az/frameworks/56/f_56708.html</t>
        </is>
      </c>
    </row>
    <row r="79">
      <c r="A79" s="5" t="inlineStr">
        <is>
          <t>CB-17</t>
        </is>
      </c>
      <c r="B79" s="5" t="inlineStr">
        <is>
          <t>Mərkəzi Bank</t>
        </is>
      </c>
      <c r="C79" s="5" t="inlineStr">
        <is>
          <t>CBAR İnformasiya təhlükəsizliyi Tələbləri (14/2)</t>
        </is>
      </c>
      <c r="D79" s="5" t="inlineStr">
        <is>
          <t>Bənd 7.9, 7.9.1, 7.9.4, 7.23</t>
        </is>
      </c>
      <c r="E79" s="5" t="inlineStr">
        <is>
          <t>Kritik sistemlər üzrə loqları azı 1 il saxlayın, monitorinq edin; qeyri-adi davranışları davamlı izləyin.</t>
        </is>
      </c>
      <c r="F79" s="5" t="inlineStr">
        <is>
          <t>Adopt logging rules: keep event logs of critical systems at least 1 year, monitor them regularly, forbid users deleting their own logs, and run continuous anomaly monitoring.</t>
        </is>
      </c>
      <c r="G79" s="5" t="inlineStr">
        <is>
          <t>7.9. Fəaliyyətlər, istisnalar, xətalar və digər hadisələr üzrə loqların yaradılması, saxlanılması, mühafizəsi və təhlilinin təmin edilməsi üçün qaydalar qəbul edilir. Kritik informasiya sistemləri və digər əlaqəli aktivlər üzrə hadisələrin loqlanması zamanı azı aşağıdakılar nəzərə alınır:
7.9.1. hadisə loqlarının qeydiyyatı aparılır və azı 1 (bir) il müddətinə saxlanılmaqla mütəmadi olaraq monitorinq edilir. Qeydiyyatı aparılan loqlara azı aşağıdakılar daxildir:
7.9.4. imtiyazlı giriş hüququna malik olanlar da daxil olmaqla istifadəçilərin öz fəaliyyətləri barədə loqları silməsi və ya deaktivasiya etməsi qadağan edilir.
7.23. Potensial informasiya təhlükəsizliyi insidentlərinin qiymətləndirilməsi məqsədilə şəbəkə, sistem və proqram təminatlarında baş verə biləcək qeyri-adi davranışların azı aşağıdakılar nəzərə alınmaqla davamlı monitorinqi mexanizmi yaradılır:</t>
        </is>
      </c>
      <c r="H79" s="5" t="inlineStr">
        <is>
          <t>Banks (I kateqoriya nəzarət subyekti / Category I supervised entity; same rule also binds the other supervised entities in 1.1)</t>
        </is>
      </c>
      <c r="I79" s="5" t="inlineStr">
        <is>
          <t>Regulatory</t>
        </is>
      </c>
      <c r="J79" s="5" t="inlineStr">
        <is>
          <t>ongoing; log retention ≥1 year</t>
        </is>
      </c>
      <c r="K79" s="6" t="inlineStr">
        <is>
          <t>Yüksək</t>
        </is>
      </c>
      <c r="L79" s="5" t="inlineStr">
        <is>
          <t>Azərbaycan Respublikasının Mərkəzi Bankı</t>
        </is>
      </c>
      <c r="M79" s="5" t="inlineStr">
        <is>
          <t>• SIEM with ≥1-year retention
• Log integrity protection
• 24x7 SOC monitoring use-cases</t>
        </is>
      </c>
      <c r="N79" s="5" t="inlineStr">
        <is>
          <t>• Logging and Monitoring Rules</t>
        </is>
      </c>
      <c r="O79" s="5" t="inlineStr">
        <is>
          <t>https://e-qanun.az/frameworks/56/f_56708.html</t>
        </is>
      </c>
    </row>
    <row r="80">
      <c r="A80" s="5" t="inlineStr">
        <is>
          <t>CB-18</t>
        </is>
      </c>
      <c r="B80" s="5" t="inlineStr">
        <is>
          <t>Mərkəzi Bank</t>
        </is>
      </c>
      <c r="C80" s="5" t="inlineStr">
        <is>
          <t>CBAR İnformasiya təhlükəsizliyi Tələbləri (14/2)</t>
        </is>
      </c>
      <c r="D80" s="5" t="inlineStr">
        <is>
          <t>Bənd 7.18.2, 7.18.3, 8.7</t>
        </is>
      </c>
      <c r="E80" s="5" t="inlineStr">
        <is>
          <t>İldə azı bir dəfə kənar mütəxəssislərlə daxili və xarici müdaxilə sınağı keçirin; nəticəni 5 iş günü ərzində Mərkəzi Banka verin.</t>
        </is>
      </c>
      <c r="F80" s="5" t="inlineStr">
        <is>
          <t>Conduct internal and external penetration tests at least annually with qualified external specialists, pen-test critical systems before go-live, and submit results to CBAR within 5 business days.</t>
        </is>
      </c>
      <c r="G80" s="5" t="inlineStr">
        <is>
          <t>7.18.2. texniki zəifliklərin analizi və aradan qaldırılması məqsədilə ildə azı 1 (bir) dəfə müdaxilə sınaqlarının keçirilməsi üzrə ixtisaslaşmış kənar mütəxəssislər cəlb edilməklə daxili və xarici müdaxilə sınaqlarının həyata keçirilməsi və nəticələrinin sənədləşdirilməsi;
7.18.3. kritik informasiya sisteminin müdaxilə sınaqları keçirildikdən və aşkar edilmiş zəifliklər aradan qaldırıldıqdan sonra əməliyyat mühitinə keçirilməsi;
8.7. Bu Tələblərin 7.18.2-ci yarımbəndinə əsasən həyata keçirilmiş müdaxilə sınaqlarının nəticələri 5 (beş) iş günündən gec olmayaraq Mərkəzi Banka təqdim edilir.</t>
        </is>
      </c>
      <c r="H80" s="5" t="inlineStr">
        <is>
          <t>Banks (I kateqoriya nəzarət subyekti / Category I supervised entity; same rule also binds the other supervised entities in 1.1)</t>
        </is>
      </c>
      <c r="I80" s="5" t="inlineStr">
        <is>
          <t>Regulatory</t>
        </is>
      </c>
      <c r="J80" s="5" t="inlineStr">
        <is>
          <t>annual; CBAR submission ≤5 business days</t>
        </is>
      </c>
      <c r="K80" s="6" t="inlineStr">
        <is>
          <t>Yüksək</t>
        </is>
      </c>
      <c r="L80" s="5" t="inlineStr">
        <is>
          <t>Azərbaycan Respublikasının Mərkəzi Bankı</t>
        </is>
      </c>
      <c r="M80" s="5" t="inlineStr">
        <is>
          <t>• Annual pen-test programme
• Pre-production pen test gate for critical systems
• Vulnerability remediation tracking</t>
        </is>
      </c>
      <c r="N80" s="5" t="inlineStr">
        <is>
          <t>• Vulnerability and Patch Management Procedure
• Secure Development Methodology</t>
        </is>
      </c>
      <c r="O80" s="5" t="inlineStr">
        <is>
          <t>https://e-qanun.az/frameworks/56/f_56708.html</t>
        </is>
      </c>
    </row>
    <row r="81">
      <c r="A81" s="5" t="inlineStr">
        <is>
          <t>CB-19</t>
        </is>
      </c>
      <c r="B81" s="5" t="inlineStr">
        <is>
          <t>Mərkəzi Bank</t>
        </is>
      </c>
      <c r="C81" s="5" t="inlineStr">
        <is>
          <t>CBAR İnformasiya təhlükəsizliyi Tələbləri (14/2)</t>
        </is>
      </c>
      <c r="D81" s="5" t="inlineStr">
        <is>
          <t>Bənd 7.25, 7.25.2, 7.25.4</t>
        </is>
      </c>
      <c r="E81" s="5" t="inlineStr">
        <is>
          <t>Kriptoqrafik vasitələrin istifadəsini risk əsasında müəyyənləşdirin, açarların idarə edilməsi sistemi yaradın.</t>
        </is>
      </c>
      <c r="F81" s="5" t="inlineStr">
        <is>
          <t>Define which information needs cryptographic protection, set algorithm strength based on risk, and establish a cryptographic key management system covering the full key lifecycle.</t>
        </is>
      </c>
      <c r="G81" s="5" t="inlineStr">
        <is>
          <t>7.25. İnformasiyanın konfidensiallığının və tamlığının qorunması üçün kriptoqrafiyanın düzgün seçilməsi və effektiv istifadəsinin təmin olunması məqsədilə aşağıdakı tədbirlər həyata keçirilir:
7.25.2. risklərin qiymətləndirilməsinə əsasən informasiyanın şifrlənməsi üçün istifadə edilən kriptoqrafik vasitələrin şifrləmə alqoritminin mürəkkəblik səviyyəsi müəyyən edilir;
7.25.4. azı aşağıdakıları müəyyən edən kriptoqrafik açarların idarə edilməsi sistemi yaradılır:</t>
        </is>
      </c>
      <c r="H81" s="5" t="inlineStr">
        <is>
          <t>Banks (I kateqoriya nəzarət subyekti / Category I supervised entity; same rule also binds the other supervised entities in 1.1)</t>
        </is>
      </c>
      <c r="I81" s="5" t="inlineStr">
        <is>
          <t>Regulatory</t>
        </is>
      </c>
      <c r="J81" s="5" t="inlineStr">
        <is>
          <t>ongoing</t>
        </is>
      </c>
      <c r="K81" s="7" t="inlineStr">
        <is>
          <t>Orta</t>
        </is>
      </c>
      <c r="L81" s="5" t="inlineStr">
        <is>
          <t>Azərbaycan Respublikasının Mərkəzi Bankı</t>
        </is>
      </c>
      <c r="M81" s="5" t="inlineStr">
        <is>
          <t>• Cryptography standard
• HSM/KMS with key lifecycle logs
• Key inventory</t>
        </is>
      </c>
      <c r="N81" s="5" t="inlineStr">
        <is>
          <t>• Cryptography and Key Management Rules</t>
        </is>
      </c>
      <c r="O81" s="5" t="inlineStr">
        <is>
          <t>https://e-qanun.az/frameworks/56/f_56708.html</t>
        </is>
      </c>
    </row>
    <row r="82">
      <c r="A82" s="5" t="inlineStr">
        <is>
          <t>CB-20</t>
        </is>
      </c>
      <c r="B82" s="5" t="inlineStr">
        <is>
          <t>Mərkəzi Bank</t>
        </is>
      </c>
      <c r="C82" s="5" t="inlineStr">
        <is>
          <t>CBAR İnformasiya təhlükəsizliyi Tələbləri (14/2)</t>
        </is>
      </c>
      <c r="D82" s="5" t="inlineStr">
        <is>
          <t>Bənd 5.2.2, 5.2.3, 5.2.4, 5.2.5</t>
        </is>
      </c>
      <c r="E82" s="5" t="inlineStr">
        <is>
          <t>Personala ildə 2 dəfə təlim, 4 dəfə maarifləndirmə; təchizatçılara ildə 2, müştərilərə rübdə 1 dəfə məlumat verin.</t>
        </is>
      </c>
      <c r="F82" s="5" t="inlineStr">
        <is>
          <t>Train staff on IS policy at least twice a year and run awareness at least four times a year; inform suppliers twice a year; educate customers at least quarterly; training programmes approved by the CEO.</t>
        </is>
      </c>
      <c r="G82" s="5" t="inlineStr">
        <is>
          <t>5.2.2. personalı informasiya təhlükəsizliyi siyasəti və onların funksiyalarına uyğun olan qaydalarla bağlı azı ildə 2 (iki) dəfə və müvafiq sənədlərdə dəyişikliklər edildikdə növbədənkənar qaydada təlimlərə cəlb edir, habelə informasiya təhlükəsizliyi ilə əlaqədar azı ildə 4 (dörd) dəfə maarifləndirir;
5.2.3. təchizatçıları informasiya təhlükəsizliyi tələbləri ilə əlaqədar azı ildə 2 (iki) dəfə, habelə dəyişiklik edildikdə növbədənkənar qaydada məlumatlandırır;
5.2.4. müştəriləri informasiya təhlükəsizliyi ilə əlaqədar azı rübdə bir dəfə maarifləndirir;
5.2.5. informasiya təhlükəsizliyinə dair personal üçün təlim proqramları nəzarət subyektinin icra orqanının rəhbəri tərəfindən təsdiq edilir və icrasına nəzarət edilir;</t>
        </is>
      </c>
      <c r="H82" s="5" t="inlineStr">
        <is>
          <t>Banks (I kateqoriya nəzarət subyekti / Category I supervised entity; same rule also binds the other supervised entities in 1.1)</t>
        </is>
      </c>
      <c r="I82" s="5" t="inlineStr">
        <is>
          <t>Regulatory</t>
        </is>
      </c>
      <c r="J82" s="5" t="inlineStr">
        <is>
          <t>staff training semi-annual; awareness quarterly; customers quarterly; suppliers semi-annual</t>
        </is>
      </c>
      <c r="K82" s="7" t="inlineStr">
        <is>
          <t>Orta</t>
        </is>
      </c>
      <c r="L82" s="5" t="inlineStr">
        <is>
          <t>Azərbaycan Respublikasının Mərkəzi Bankı</t>
        </is>
      </c>
      <c r="M82" s="5" t="inlineStr">
        <is>
          <t>• CEO-approved IS training programme
• Training attendance records
• Customer awareness campaign log</t>
        </is>
      </c>
      <c r="N82" s="5" t="inlineStr">
        <is>
          <t>• IS Training and Awareness Programme</t>
        </is>
      </c>
      <c r="O82" s="5" t="inlineStr">
        <is>
          <t>https://e-qanun.az/frameworks/56/f_56708.html</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8"/>
  <sheetViews>
    <sheetView workbookViewId="0">
      <pane ySplit="1" topLeftCell="A2" activePane="bottomLeft" state="frozen"/>
      <selection pane="bottomLeft" activeCell="A1" sqref="A1"/>
    </sheetView>
  </sheetViews>
  <sheetFormatPr baseColWidth="8" defaultRowHeight="15"/>
  <cols>
    <col width="36" customWidth="1" min="1" max="1"/>
    <col width="34" customWidth="1" min="2" max="2"/>
    <col width="60" customWidth="1" min="3" max="3"/>
    <col width="40" customWidth="1" min="4" max="4"/>
    <col width="34" customWidth="1" min="5" max="5"/>
  </cols>
  <sheetData>
    <row r="1">
      <c r="A1" s="4" t="inlineStr">
        <is>
          <t>Policy / prosedur (AZ)</t>
        </is>
      </c>
      <c r="B1" s="4" t="inlineStr">
        <is>
          <t>Policy (EN)</t>
        </is>
      </c>
      <c r="C1" s="4" t="inlineStr">
        <is>
          <t>Məqsəd</t>
        </is>
      </c>
      <c r="D1" s="4" t="inlineStr">
        <is>
          <t>Hansı maddələrdən irəli gəlir</t>
        </is>
      </c>
      <c r="E1" s="4" t="inlineStr">
        <is>
          <t>Qanun</t>
        </is>
      </c>
    </row>
    <row r="2">
      <c r="A2" s="5" t="inlineStr">
        <is>
          <t>Fərdi məlumatların mühafizəsi siyasəti</t>
        </is>
      </c>
      <c r="B2" s="5" t="inlineStr">
        <is>
          <t>Personal Data Protection Policy</t>
        </is>
      </c>
      <c r="C2" s="5" t="inlineStr">
        <is>
          <t>Prinsipləri (qanunçuluq, konfidensiallıq, məqsəd məhdudluğu, minimallaşdırma, dəqiqlik), rolları və məsuliyyətləri müəyyən edən çətir sənəd.</t>
        </is>
      </c>
      <c r="D2" s="5" t="inlineStr">
        <is>
          <t>4.1; 5.5; 9.1-9.3; 9.6; 10.1; 11.1 · PD-01; PD-04; PD-09</t>
        </is>
      </c>
      <c r="E2" s="5" t="inlineStr">
        <is>
          <t>Azərbaycan Respublikasının "Fərdi məlumatlar haqqında" Qanunu</t>
        </is>
      </c>
    </row>
    <row r="3">
      <c r="A3" s="5" t="inlineStr">
        <is>
          <t>Emal fəaliyyətlərinin reyestri proseduru</t>
        </is>
      </c>
      <c r="B3" s="5" t="inlineStr">
        <is>
          <t>Record of Processing Activities Procedure</t>
        </is>
      </c>
      <c r="C3" s="5" t="inlineStr">
        <is>
          <t>Hər emal fəaliyyəti üçün məqsəd, hüquqi əsas, kateqoriyalar, alıcılar, saxlanma və sistemləri qeydə almaq (qeydiyyat müraciətinin 15.4 məlumatlarının mənbəyi).</t>
        </is>
      </c>
      <c r="D3" s="5" t="inlineStr">
        <is>
          <t>9.1; 9.6; 15.4 · PD-01; PD-04; PD-16</t>
        </is>
      </c>
      <c r="E3" s="5" t="inlineStr">
        <is>
          <t>Azərbaycan Respublikasının "Fərdi məlumatlar haqqında" Qanunu</t>
        </is>
      </c>
    </row>
    <row r="4">
      <c r="A4" s="5" t="inlineStr">
        <is>
          <t>Razılığın idarə edilməsi proseduru</t>
        </is>
      </c>
      <c r="B4" s="5" t="inlineStr">
        <is>
          <t>Consent Management Procedure</t>
        </is>
      </c>
      <c r="C4" s="5" t="inlineStr">
        <is>
          <t>Yazılı/e-imzalı razılığın 8.2 elementləri ilə alınması, EHİS üzərindən idarəsi, sübutun saxlanması və geri çağırmanın icrası.</t>
        </is>
      </c>
      <c r="D4" s="5" t="inlineStr">
        <is>
          <t>8.1-8.6; 13.1; 13.3 · PD-02; PD-03; PD-13; PD-14</t>
        </is>
      </c>
      <c r="E4" s="5" t="inlineStr">
        <is>
          <t>Azərbaycan Respublikasının "Fərdi məlumatlar haqqında" Qanunu</t>
        </is>
      </c>
    </row>
    <row r="5">
      <c r="A5" s="5" t="inlineStr">
        <is>
          <t>Məxfilik bildirişi (subyektin məlumatlandırılması)</t>
        </is>
      </c>
      <c r="B5" s="5" t="inlineStr">
        <is>
          <t>Privacy Notice</t>
        </is>
      </c>
      <c r="C5" s="5" t="inlineStr">
        <is>
          <t>Toplama zamanı 11.2 və 11.3-də tələb olunan məlumatların subyektə təqdim edilməsi.</t>
        </is>
      </c>
      <c r="D5" s="5" t="inlineStr">
        <is>
          <t>11.2; 11.3 · PD-08; PD-02</t>
        </is>
      </c>
      <c r="E5" s="5" t="inlineStr">
        <is>
          <t>Azərbaycan Respublikasının "Fərdi məlumatlar haqqında" Qanunu</t>
        </is>
      </c>
    </row>
    <row r="6">
      <c r="A6" s="5" t="inlineStr">
        <is>
          <t>Subyekt sorğularına baxılma proseduru</t>
        </is>
      </c>
      <c r="B6" s="5" t="inlineStr">
        <is>
          <t>Data Subject Request Procedure</t>
        </is>
      </c>
      <c r="C6" s="5" t="inlineStr">
        <is>
          <t>Giriş, düzəliş, məhv, qadağa və etiraz sorğularının şəxsiyyət yoxlaması ilə qəbulu və 7/5/3 iş günü müddətlərində icrası.</t>
        </is>
      </c>
      <c r="D6" s="5" t="inlineStr">
        <is>
          <t>7.1-7.5; 12.1-12.6 · PD-11; PD-12; PD-13; PD-17</t>
        </is>
      </c>
      <c r="E6" s="5" t="inlineStr">
        <is>
          <t>Azərbaycan Respublikasının "Fərdi məlumatlar haqqında" Qanunu</t>
        </is>
      </c>
    </row>
    <row r="7">
      <c r="A7" s="5" t="inlineStr">
        <is>
          <t>Məlumatların saxlanması və məhv edilməsi siyasəti</t>
        </is>
      </c>
      <c r="B7" s="5" t="inlineStr">
        <is>
          <t>Data Retention and Destruction Policy</t>
        </is>
      </c>
      <c r="C7" s="5" t="inlineStr">
        <is>
          <t>Saxlanma müddətlərini, məqsəd bitdikdə məhvetmə/arxivləşdirmə və məhvetmə aktlarının qaydasını müəyyən etmək.</t>
        </is>
      </c>
      <c r="D7" s="5" t="inlineStr">
        <is>
          <t>8.2.6; 9.4; 9.8; 15.6; 5.10 · PD-05; PD-06</t>
        </is>
      </c>
      <c r="E7" s="5" t="inlineStr">
        <is>
          <t>Azərbaycan Respublikasının "Fərdi məlumatlar haqqında" Qanunu</t>
        </is>
      </c>
    </row>
    <row r="8">
      <c r="A8" s="5" t="inlineStr">
        <is>
          <t>İnformasiya təhlükəsizliyi siyasəti</t>
        </is>
      </c>
      <c r="B8" s="5" t="inlineStr">
        <is>
          <t>Information Security Policy</t>
        </is>
      </c>
      <c r="C8" s="5" t="inlineStr">
        <is>
          <t>Fərdi məlumatların mühafizəsi üçün texniki-təşkilati tədbirləri və Nazirlər Kabinetinin mühafizə tələblərinə uyğunluğu təmin etmək.</t>
        </is>
      </c>
      <c r="D8" s="5" t="inlineStr">
        <is>
          <t>5.2; 5.8; 5.9; 14.4 · PD-09; PD-10; PD-15</t>
        </is>
      </c>
      <c r="E8" s="5" t="inlineStr">
        <is>
          <t>Azərbaycan Respublikasının "Fərdi məlumatlar haqqında" Qanunu</t>
        </is>
      </c>
    </row>
    <row r="9">
      <c r="A9" s="5" t="inlineStr">
        <is>
          <t>Girişə nəzarət və audit jurnalı proseduru</t>
        </is>
      </c>
      <c r="B9" s="5" t="inlineStr">
        <is>
          <t>Access Control and Audit Logging Procedure</t>
        </is>
      </c>
      <c r="C9" s="5" t="inlineStr">
        <is>
          <t>Fərdi məlumatlara girişin məhdudlaşdırılması və 9.12 üzrə nəzarət-audit jurnallarının aparılması.</t>
        </is>
      </c>
      <c r="D9" s="5" t="inlineStr">
        <is>
          <t>5.2; 9.12 · PD-09; PD-17</t>
        </is>
      </c>
      <c r="E9" s="5" t="inlineStr">
        <is>
          <t>Azərbaycan Respublikasının "Fərdi məlumatlar haqqında" Qanunu</t>
        </is>
      </c>
    </row>
    <row r="10">
      <c r="A10" s="5" t="inlineStr">
        <is>
          <t>Xüsusi kateqoriyalı və biometrik məlumatların emalı proseduru</t>
        </is>
      </c>
      <c r="B10" s="5" t="inlineStr">
        <is>
          <t>Special Category and Biometric Data Procedure</t>
        </is>
      </c>
      <c r="C10" s="5" t="inlineStr">
        <is>
          <t>Xüsusi kateqoriyalı və biometrik məlumatların yalnız icazə verilən hallarda, gücləndirilmiş mühafizə ilə emalı və əsas aradan qalxdıqda bloklanması/məhvi.</t>
        </is>
      </c>
      <c r="D10" s="5" t="inlineStr">
        <is>
          <t>2.1.6; 9.5; 9.7; 9.8 · PD-06; PD-07</t>
        </is>
      </c>
      <c r="E10" s="5" t="inlineStr">
        <is>
          <t>Azərbaycan Respublikasının "Fərdi məlumatlar haqqında" Qanunu</t>
        </is>
      </c>
    </row>
    <row r="11">
      <c r="A11" s="5" t="inlineStr">
        <is>
          <t>Transsərhəd ötürmə proseduru</t>
        </is>
      </c>
      <c r="B11" s="5" t="inlineStr">
        <is>
          <t>Cross-Border Data Transfer Procedure</t>
        </is>
      </c>
      <c r="C11" s="5" t="inlineStr">
        <is>
          <t>Xaricə ötürmələrin (o cümlədən xarici bulud xidmətlərinin) adekvatlıq qiymətləndirməsi, razılıq və təhlükəsizlik tədbirləri ilə idarəsi.</t>
        </is>
      </c>
      <c r="D11" s="5" t="inlineStr">
        <is>
          <t>14.1-14.4; 15.4.13 · PD-15</t>
        </is>
      </c>
      <c r="E11" s="5" t="inlineStr">
        <is>
          <t>Azərbaycan Respublikasının "Fərdi məlumatlar haqqında" Qanunu</t>
        </is>
      </c>
    </row>
    <row r="12">
      <c r="A12" s="5" t="inlineStr">
        <is>
          <t>Üçüncü şəxslərə məlumat verilməsi və operatorların idarə edilməsi siyasəti</t>
        </is>
      </c>
      <c r="B12" s="5" t="inlineStr">
        <is>
          <t>Third-Party Disclosure and Processor Management Policy</t>
        </is>
      </c>
      <c r="C12" s="5" t="inlineStr">
        <is>
          <t>Üçüncü şəxslərə verilmənin əsaslarını, operator (podratçı) müqavilələrini, due diligence və alıcılara bildirişləri tənzimləmək.</t>
        </is>
      </c>
      <c r="D12" s="5" t="inlineStr">
        <is>
          <t>9.9; 10.3; 10.4; 12.5; 13.1-13.3 · PD-12; PD-14; PD-18; PD-20</t>
        </is>
      </c>
      <c r="E12" s="5" t="inlineStr">
        <is>
          <t>Azərbaycan Respublikasının "Fərdi məlumatlar haqqında" Qanunu</t>
        </is>
      </c>
    </row>
    <row r="13">
      <c r="A13" s="5" t="inlineStr">
        <is>
          <t>İnformasiya sistemlərinin qeydiyyatı proseduru</t>
        </is>
      </c>
      <c r="B13" s="5" t="inlineStr">
        <is>
          <t>Information System Registration Procedure</t>
        </is>
      </c>
      <c r="C13" s="5" t="inlineStr">
        <is>
          <t>Fərdi məlumatların informasiya sistemlərinin dövlət qeydiyyatı, istisnaların qiymətləndirilməsi, dəyişikliklərin 3 iş günü ərzində bildirilməsi və lisenziya tələblərinin yoxlanması.</t>
        </is>
      </c>
      <c r="D13" s="5" t="inlineStr">
        <is>
          <t>9.14; 15.1-15.6; 16.1 · PD-16; PD-20</t>
        </is>
      </c>
      <c r="E13" s="5" t="inlineStr">
        <is>
          <t>Azərbaycan Respublikasının "Fərdi məlumatlar haqqında" Qanunu</t>
        </is>
      </c>
    </row>
    <row r="14">
      <c r="A14" s="5" t="inlineStr">
        <is>
          <t>Əməkdaşların məxfilik öhdəliyi</t>
        </is>
      </c>
      <c r="B14" s="5" t="inlineStr">
        <is>
          <t>Employee Confidentiality Undertaking</t>
        </is>
      </c>
      <c r="C14" s="5" t="inlineStr">
        <is>
          <t>Fərdi məlumatlarla işləyən əməkdaşlardan işdən çıxdıqdan sonra da qüvvədə olan yazılı iltizam alınması.</t>
        </is>
      </c>
      <c r="D14" s="5" t="inlineStr">
        <is>
          <t>5.5 · PD-10</t>
        </is>
      </c>
      <c r="E14" s="5" t="inlineStr">
        <is>
          <t>Azərbaycan Respublikasının "Fərdi məlumatlar haqqında" Qanunu</t>
        </is>
      </c>
    </row>
    <row r="15">
      <c r="A15" s="5" t="inlineStr">
        <is>
          <t>Tənzimləyici orqanla qarşılıqlı əlaqə proseduru</t>
        </is>
      </c>
      <c r="B15" s="5" t="inlineStr">
        <is>
          <t>Regulator Engagement Procedure</t>
        </is>
      </c>
      <c r="C15" s="5" t="inlineStr">
        <is>
          <t>Nəzarət orqanının sorğu və tələblərinə vaxtında (7 iş günü) cavab, yoxlamalara hazırlıq.</t>
        </is>
      </c>
      <c r="D15" s="5" t="inlineStr">
        <is>
          <t>10.6; 17.1; 17.2 · PD-19</t>
        </is>
      </c>
      <c r="E15" s="5" t="inlineStr">
        <is>
          <t>Azərbaycan Respublikasının "Fərdi məlumatlar haqqında" Qanunu</t>
        </is>
      </c>
    </row>
    <row r="16">
      <c r="A16" s="5" t="inlineStr">
        <is>
          <t>Fərdi məlumat insidentlərinə cavab proseduru</t>
        </is>
      </c>
      <c r="B16" s="5" t="inlineStr">
        <is>
          <t>Personal Data Incident Response Procedure</t>
        </is>
      </c>
      <c r="C16" s="5" t="inlineStr">
        <is>
          <t>İtki, icazəsiz giriş və ya dəyişdirilmə hallarının aşkarlanması, məhdudlaşdırılması və araşdırılması (qanunda açıq bildiriş öhdəliyi yoxdur — ən yaxşı təcrübə).</t>
        </is>
      </c>
      <c r="D16" s="5" t="inlineStr">
        <is>
          <t>5.8; 10.1 · PD-09</t>
        </is>
      </c>
      <c r="E16" s="5" t="inlineStr">
        <is>
          <t>Azərbaycan Respublikasının "Fərdi məlumatlar haqqında" Qanunu</t>
        </is>
      </c>
    </row>
    <row r="17">
      <c r="A17" s="5" t="inlineStr">
        <is>
          <t>İnformasiya təhlükəsizliyi siyasəti</t>
        </is>
      </c>
      <c r="B17" s="5" t="inlineStr">
        <is>
          <t>Information Security Policy</t>
        </is>
      </c>
      <c r="C17" s="5" t="inlineStr">
        <is>
          <t>Top-level policy defining protection regime, roles and ISMS for all information assets.</t>
        </is>
      </c>
      <c r="D17" s="5" t="inlineStr">
        <is>
          <t>İnf. Q. Maddə 18; İnf. Q. Maddə 20-11.1; E-imza Q. Maddə 30.2; Qanun 20-3.1 / Qaydalar 7.1–7.2</t>
        </is>
      </c>
      <c r="E17"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18">
      <c r="A18" s="5" t="inlineStr">
        <is>
          <t>İnformasiyanın təsnifatı və idarə edilməsi siyasəti</t>
        </is>
      </c>
      <c r="B18" s="5" t="inlineStr">
        <is>
          <t>Information Classification &amp; Handling Policy</t>
        </is>
      </c>
      <c r="C18" s="5" t="inlineStr">
        <is>
          <t>Classify information (open / confidential / state secret) and set handling rules per class.</t>
        </is>
      </c>
      <c r="D18" s="5" t="inlineStr">
        <is>
          <t>İnf. Q. Maddə 10; İnf. Q. Maddə 18; E-imza Q. Maddə 32</t>
        </is>
      </c>
      <c r="E18"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19">
      <c r="A19" s="5" t="inlineStr">
        <is>
          <t>Fərdi məlumatların və konfidensial informasiyanın emalı qaydası</t>
        </is>
      </c>
      <c r="B19" s="5" t="inlineStr">
        <is>
          <t>Personal Data &amp; Confidential Information Processing Procedure</t>
        </is>
      </c>
      <c r="C19" s="5" t="inlineStr">
        <is>
          <t>Ensure confidential/personal data is processed only on legal grounds and protected.</t>
        </is>
      </c>
      <c r="D19" s="5" t="inlineStr">
        <is>
          <t>İnf. Q. Maddə 10; İnf. Q. Maddə 12; E-imza Q. Maddə 35</t>
        </is>
      </c>
      <c r="E19"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20">
      <c r="A20" s="5" t="inlineStr">
        <is>
          <t>Korporativ veb-saytların və domenlərin idarə edilməsi qaydası</t>
        </is>
      </c>
      <c r="B20" s="5" t="inlineStr">
        <is>
          <t>Corporate Website &amp; Domain Governance Procedure</t>
        </is>
      </c>
      <c r="C20" s="5" t="inlineStr">
        <is>
          <t>Assign owners, legal imprint, language compliance and Milli CERT instruction handling for websites/.az domains.</t>
        </is>
      </c>
      <c r="D20" s="5" t="inlineStr">
        <is>
          <t>İnf. Q. Maddə 13-2.1; 13-2.2; 13-2.6; 20-11.6</t>
        </is>
      </c>
      <c r="E20"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21">
      <c r="A21" s="5" t="inlineStr">
        <is>
          <t>Məzmun moderasiyası və “notice-and-takedown” proseduru</t>
        </is>
      </c>
      <c r="B21" s="5" t="inlineStr">
        <is>
          <t>Content Moderation &amp; Notice-and-Takedown Procedure</t>
        </is>
      </c>
      <c r="C21" s="5" t="inlineStr">
        <is>
          <t>Prevent and remove prohibited information within statutory deadlines (8 hours after warning).</t>
        </is>
      </c>
      <c r="D21" s="5" t="inlineStr">
        <is>
          <t>İnf. Q. Maddə 13-2.3; 13-2.4; 13-3.1; 13-3.2</t>
        </is>
      </c>
      <c r="E21"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22">
      <c r="A22" s="5" t="inlineStr">
        <is>
          <t>Süni intellektdən istifadə və AI məzmununun nişanlanması siyasəti</t>
        </is>
      </c>
      <c r="B22" s="5" t="inlineStr">
        <is>
          <t>AI Use &amp; AI-Generated Content Labelling Policy</t>
        </is>
      </c>
      <c r="C22" s="5" t="inlineStr">
        <is>
          <t>Govern generative-AI use and mandatory labelling of AI-generated media.</t>
        </is>
      </c>
      <c r="D22" s="5" t="inlineStr">
        <is>
          <t>İnf. Q. Maddə 13-2.7; 13-2.3.9-1</t>
        </is>
      </c>
      <c r="E22"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23">
      <c r="A23" s="5" t="inlineStr">
        <is>
          <t>Kiberinsidentlərin idarə edilməsi və bildirilməsi planı</t>
        </is>
      </c>
      <c r="B23" s="5" t="inlineStr">
        <is>
          <t>Cyber Incident Response &amp; Notification Plan</t>
        </is>
      </c>
      <c r="C23" s="5" t="inlineStr">
        <is>
          <t>Detect, classify, respond to and immediately report incidents to Milli CERT / competent authority.</t>
        </is>
      </c>
      <c r="D23" s="5" t="inlineStr">
        <is>
          <t>İnf. Q. Maddə 20-11.2; 20-10.9; 20-3.4; Qaydalar 4.1.5; 8.9.16</t>
        </is>
      </c>
      <c r="E23"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24">
      <c r="A24" s="5" t="inlineStr">
        <is>
          <t>Tənzimləyici orqanlarla qarşılıqlı əlaqə proseduru</t>
        </is>
      </c>
      <c r="B24" s="5" t="inlineStr">
        <is>
          <t>Regulatory Requests &amp; Instructions Handling Procedure</t>
        </is>
      </c>
      <c r="C24" s="5" t="inlineStr">
        <is>
          <t>Track and answer requests/instructions from Milli CERT, DTX/XRİTDX within 24h / 5 working days / 30 days.</t>
        </is>
      </c>
      <c r="D24" s="5" t="inlineStr">
        <is>
          <t>İnf. Q. Maddə 20-10.4.5; 20-10.5; 20-10.9; 20-2.2; 20-4.4; Qaydalar 3.4</t>
        </is>
      </c>
      <c r="E24"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25">
      <c r="A25" s="5" t="inlineStr">
        <is>
          <t>İnformasiya təhlükəsizliyi risklərinin idarə edilməsi metodologiyası</t>
        </is>
      </c>
      <c r="B25" s="5" t="inlineStr">
        <is>
          <t>Information Security Risk Management Methodology</t>
        </is>
      </c>
      <c r="C25" s="5" t="inlineStr">
        <is>
          <t>Periodic risk identification, assessment and treatment incl. CII criticality assessment.</t>
        </is>
      </c>
      <c r="D25" s="5" t="inlineStr">
        <is>
          <t>İnf. Q. Maddə 20-11.1; Qaydalar 4.1.1(2); 10.1</t>
        </is>
      </c>
      <c r="E25"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26">
      <c r="A26" s="5" t="inlineStr">
        <is>
          <t>Zəifliklərin idarə edilməsi və müdaxilə sınaqları siyasəti</t>
        </is>
      </c>
      <c r="B26" s="5" t="inlineStr">
        <is>
          <t>Vulnerability Management &amp; Penetration Testing Policy</t>
        </is>
      </c>
      <c r="C26" s="5" t="inlineStr">
        <is>
          <t>Scan, pentest (annually for CII with 7-day notice) and remediate within deadlines.</t>
        </is>
      </c>
      <c r="D26" s="5" t="inlineStr">
        <is>
          <t>İnf. Q. Maddə 20-10.5; 20-11.1; Qaydalar 4.1.7(4); 9.5</t>
        </is>
      </c>
      <c r="E26"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27">
      <c r="A27" s="5" t="inlineStr">
        <is>
          <t>Daxili və kənar təhlükəsizlik auditi proqramı</t>
        </is>
      </c>
      <c r="B27" s="5" t="inlineStr">
        <is>
          <t>Internal &amp; External Security Audit Programme</t>
        </is>
      </c>
      <c r="C27" s="5" t="inlineStr">
        <is>
          <t>Plan internal audits and annual external audits; submit results to authorities.</t>
        </is>
      </c>
      <c r="D27" s="5" t="inlineStr">
        <is>
          <t>İnf. Q. Maddə 20-6.8; Qaydalar 4.1.7(3); 9.6; E-imza Q. Maddə 17.3.8; 18.3</t>
        </is>
      </c>
      <c r="E27"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28">
      <c r="A28" s="5" t="inlineStr">
        <is>
          <t>Jurnallaşdırma və monitorinq standartı</t>
        </is>
      </c>
      <c r="B28" s="5" t="inlineStr">
        <is>
          <t>Logging &amp; Security Monitoring Standard</t>
        </is>
      </c>
      <c r="C28" s="5" t="inlineStr">
        <is>
          <t>24/7 monitoring, access/event logging, ≥1-year retention and real-time feed to cyber centre.</t>
        </is>
      </c>
      <c r="D28" s="5" t="inlineStr">
        <is>
          <t>Qaydalar 4.1.3(5); 4.1.7(2); 4.1.7(5); 8.9.12; 8.9.14</t>
        </is>
      </c>
      <c r="E28"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29">
      <c r="A29" s="5" t="inlineStr">
        <is>
          <t>Giriş hüquqlarının idarə edilməsi siyasəti</t>
        </is>
      </c>
      <c r="B29" s="5" t="inlineStr">
        <is>
          <t>Identity &amp; Access Management Policy</t>
        </is>
      </c>
      <c r="C29" s="5" t="inlineStr">
        <is>
          <t>Access control rules, joiner-mover-leaver deactivation and privileged access.</t>
        </is>
      </c>
      <c r="D29" s="5" t="inlineStr">
        <is>
          <t>Qaydalar 4.1.2(2); 4.1.3(5)</t>
        </is>
      </c>
      <c r="E29"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30">
      <c r="A30" s="5" t="inlineStr">
        <is>
          <t>İnsan resursları təhlükəsizliyi və məxfilik öhdəliyi qaydası</t>
        </is>
      </c>
      <c r="B30" s="5" t="inlineStr">
        <is>
          <t>HR Security &amp; Confidentiality Undertaking Procedure</t>
        </is>
      </c>
      <c r="C30" s="5" t="inlineStr">
        <is>
          <t>Screening, NDAs, onboarding briefing and exit asset/account recovery.</t>
        </is>
      </c>
      <c r="D30" s="5" t="inlineStr">
        <is>
          <t>Qaydalar 4.1.2(1–2)</t>
        </is>
      </c>
      <c r="E30"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31">
      <c r="A31" s="5" t="inlineStr">
        <is>
          <t>Kibergigiyena və təhlükəsizlik maarifləndirmə proqramı</t>
        </is>
      </c>
      <c r="B31" s="5" t="inlineStr">
        <is>
          <t>Cyber Hygiene &amp; Security Awareness Programme</t>
        </is>
      </c>
      <c r="C31" s="5" t="inlineStr">
        <is>
          <t>Regular training with evidence; cyber hygiene measures for all staff.</t>
        </is>
      </c>
      <c r="D31" s="5" t="inlineStr">
        <is>
          <t>İnf. Q. Maddə 2 (kibergigiyena); Qaydalar 4.1.2(1)</t>
        </is>
      </c>
      <c r="E31"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32">
      <c r="A32" s="5" t="inlineStr">
        <is>
          <t>Fəaliyyətin davamlılığı və bərpa planı</t>
        </is>
      </c>
      <c r="B32" s="5" t="inlineStr">
        <is>
          <t>Business Continuity &amp; Disaster Recovery Plan</t>
        </is>
      </c>
      <c r="C32" s="5" t="inlineStr">
        <is>
          <t>BCP/DRP with annual tests and defined maximum tolerable downtime.</t>
        </is>
      </c>
      <c r="D32" s="5" t="inlineStr">
        <is>
          <t>Qaydalar 4.1.6; 8.9.4</t>
        </is>
      </c>
      <c r="E32"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33">
      <c r="A33" s="5" t="inlineStr">
        <is>
          <t>Ehtiyat nüsxə və arxivləşdirmə qaydası</t>
        </is>
      </c>
      <c r="B33" s="5" t="inlineStr">
        <is>
          <t>Backup &amp; Archiving Procedure</t>
        </is>
      </c>
      <c r="C33" s="5" t="inlineStr">
        <is>
          <t>Preserve integrity/availability of e-documents and CII data for required retention periods.</t>
        </is>
      </c>
      <c r="D33" s="5" t="inlineStr">
        <is>
          <t>E-imza Q. Maddə 29.1; Qaydalar 4.1.6</t>
        </is>
      </c>
      <c r="E33"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34">
      <c r="A34" s="5" t="inlineStr">
        <is>
          <t>Aktivlərin və konfiqurasiyaların idarə edilməsi qaydası</t>
        </is>
      </c>
      <c r="B34" s="5" t="inlineStr">
        <is>
          <t>Asset &amp; Configuration Management Procedure</t>
        </is>
      </c>
      <c r="C34" s="5" t="inlineStr">
        <is>
          <t>Inventory of systems, software licences and certification status; CII asset register.</t>
        </is>
      </c>
      <c r="D34" s="5" t="inlineStr">
        <is>
          <t>İnf. Q. Maddə 16; Qaydalar 4.1.3(3); 4.1.4(3)</t>
        </is>
      </c>
      <c r="E34"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35">
      <c r="A35" s="5" t="inlineStr">
        <is>
          <t>Dəyişikliklərin idarə edilməsi proseduru</t>
        </is>
      </c>
      <c r="B35" s="5" t="inlineStr">
        <is>
          <t>Change Management Procedure</t>
        </is>
      </c>
      <c r="C35" s="5" t="inlineStr">
        <is>
          <t>Controlled changes to CII objects incl. design-documentation expertise and acceptance tests.</t>
        </is>
      </c>
      <c r="D35" s="5" t="inlineStr">
        <is>
          <t>Qaydalar 4.1.4(2); 4.1.4(4); 7.6; 8.9.9; 8.9.10</t>
        </is>
      </c>
      <c r="E35"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36">
      <c r="A36" s="5" t="inlineStr">
        <is>
          <t>Təhlükəsiz sistem layihələndirilməsi (SDLC) standartı</t>
        </is>
      </c>
      <c r="B36" s="5" t="inlineStr">
        <is>
          <t>Secure System Development / Design Standard</t>
        </is>
      </c>
      <c r="C36" s="5" t="inlineStr">
        <is>
          <t>Security-by-design and CII criticality check at project design stage.</t>
        </is>
      </c>
      <c r="D36" s="5" t="inlineStr">
        <is>
          <t>Qaydalar 10.1; 7.3; 8.9.7</t>
        </is>
      </c>
      <c r="E36"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37">
      <c r="A37" s="5" t="inlineStr">
        <is>
          <t>Üçüncü tərəf (təchizatçı) risklərinin idarə edilməsi siyasəti</t>
        </is>
      </c>
      <c r="B37" s="5" t="inlineStr">
        <is>
          <t>Third-Party / Supplier Security Risk Policy</t>
        </is>
      </c>
      <c r="C37" s="5" t="inlineStr">
        <is>
          <t>Security clauses in contracts; due diligence of MSSP/CERT/SOC providers.</t>
        </is>
      </c>
      <c r="D37" s="5" t="inlineStr">
        <is>
          <t>Qaydalar 4.1.1(4); 6.1–6.4; İnf. Q. Maddə 20-3.5; 20-8.2</t>
        </is>
      </c>
      <c r="E37"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38">
      <c r="A38" s="5" t="inlineStr">
        <is>
          <t>İT satınalmasında təhlükəsizlik tələbləri</t>
        </is>
      </c>
      <c r="B38" s="5" t="inlineStr">
        <is>
          <t>Secure IT Procurement Standard</t>
        </is>
      </c>
      <c r="C38" s="5" t="inlineStr">
        <is>
          <t>Require certified, licensed products and certified e-signature/EDMS tools.</t>
        </is>
      </c>
      <c r="D38" s="5" t="inlineStr">
        <is>
          <t>İnf. Q. Maddə 16; E-imza Q. Maddə 34.3; Qaydalar 4.1.3(3); 6.3.2</t>
        </is>
      </c>
      <c r="E38"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39">
      <c r="A39" s="5" t="inlineStr">
        <is>
          <t>KİI təhlükəsizliyinin təmin edilməsi üzrə daxili qaydalar</t>
        </is>
      </c>
      <c r="B39" s="5" t="inlineStr">
        <is>
          <t>Critical Information Infrastructure Security Procedure</t>
        </is>
      </c>
      <c r="C39" s="5" t="inlineStr">
        <is>
          <t>Registry duties, responsible person, specific requirements, cooperation with DTX/XRİTDX.</t>
        </is>
      </c>
      <c r="D39" s="5" t="inlineStr">
        <is>
          <t>Qanun 20-1 – 20-6; Qaydalar 5, 7, 8.9, 9, 10</t>
        </is>
      </c>
      <c r="E39"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40">
      <c r="A40" s="5" t="inlineStr">
        <is>
          <t>Elektron imzadan istifadə qaydası</t>
        </is>
      </c>
      <c r="B40" s="5" t="inlineStr">
        <is>
          <t>Electronic Signature Use Procedure</t>
        </is>
      </c>
      <c r="C40" s="5" t="inlineStr">
        <is>
          <t>Who may sign, which signature type, token custody, suspension/revocation and signing with state bodies.</t>
        </is>
      </c>
      <c r="D40" s="5" t="inlineStr">
        <is>
          <t>E-imza Q. Maddə 5.5; 6.3; 7.1–7.2; 20.3–20.5</t>
        </is>
      </c>
      <c r="E40"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41">
      <c r="A41" s="5" t="inlineStr">
        <is>
          <t>Kriptoqrafik açarların və imza vasitələrinin idarə edilməsi standartı</t>
        </is>
      </c>
      <c r="B41" s="5" t="inlineStr">
        <is>
          <t>Cryptographic Key &amp; Signature Device Management Standard</t>
        </is>
      </c>
      <c r="C41" s="5" t="inlineStr">
        <is>
          <t>Lifecycle protection of signature-creation data, tokens and CA keys.</t>
        </is>
      </c>
      <c r="D41" s="5" t="inlineStr">
        <is>
          <t>E-imza Q. Maddə 20.3; 17.3.1; 18.2</t>
        </is>
      </c>
      <c r="E41"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42">
      <c r="A42" s="5" t="inlineStr">
        <is>
          <t>Elektron sənəd dövriyyəsi və sənədlərin saxlanılması qaydası</t>
        </is>
      </c>
      <c r="B42" s="5" t="inlineStr">
        <is>
          <t>Electronic Records Management &amp; Retention Procedure</t>
        </is>
      </c>
      <c r="C42" s="5" t="inlineStr">
        <is>
          <t>EDMS rules, record-keeping standards, retention not shorter than paper.</t>
        </is>
      </c>
      <c r="D42" s="5" t="inlineStr">
        <is>
          <t>E-imza Q. Maddə 26.3–26.4; 29.1; 31.3</t>
        </is>
      </c>
      <c r="E42" s="5" t="inlineStr">
        <is>
          <t>“İnformasiya, informasiyalaşdırma və informasiyanın mühafizəsi haqqında” Azərbaycan Respublikasının Qanunu, “Elektron imza və elektron sənəd haqqında” Azərbaycan Respublikasının Qanunu, “Azərbaycan Respublikasında kritik informasiya infrastrukturunun təhlükəsizliyinin təmin edilməsi qaydaları”nın təsdiq edilməsi haqqında Azərbaycan Respublikası Nazirlər Kabinetinin Qərarı, Səlahiyyətli orqanları müəyyən edən aktlar</t>
        </is>
      </c>
    </row>
    <row r="43">
      <c r="A43" s="5" t="inlineStr">
        <is>
          <t>İnformasiya təhlükəsizliyi siyasəti</t>
        </is>
      </c>
      <c r="B43" s="5" t="inlineStr">
        <is>
          <t>Information Security Policy</t>
        </is>
      </c>
      <c r="C43" s="5" t="inlineStr">
        <is>
          <t>Board-approved top-level IS policy covering parts 4–7 and ISMS continual improvement; reviewed at least annually.</t>
        </is>
      </c>
      <c r="D43" s="5" t="inlineStr">
        <is>
          <t>Bənd 3.2, 3.4, 3.5, 3.6</t>
        </is>
      </c>
      <c r="E43" s="5" t="inlineStr">
        <is>
          <t>CBAR İnformasiya təhlükəsizliyi Tələbləri (14/2), Banklarda informasiya təhlükəsizliyinin idarə edilməsi Qaydası (20/1) — LƏĞV EDİLİB</t>
        </is>
      </c>
    </row>
    <row r="44">
      <c r="A44" s="5" t="inlineStr">
        <is>
          <t>Aktivlərdən məqbul istifadə qaydaları</t>
        </is>
      </c>
      <c r="B44" s="5" t="inlineStr">
        <is>
          <t>Acceptable Use of Assets Rules</t>
        </is>
      </c>
      <c r="C44" s="5" t="inlineStr">
        <is>
          <t>Documented acceptable-use rules for information and related assets.</t>
        </is>
      </c>
      <c r="D44" s="5" t="inlineStr">
        <is>
          <t>Bənd 4.6.3</t>
        </is>
      </c>
      <c r="E44" s="5" t="inlineStr">
        <is>
          <t>CBAR İnformasiya təhlükəsizliyi Tələbləri (14/2), Banklarda informasiya təhlükəsizliyinin idarə edilməsi Qaydası (20/1) — LƏĞV EDİLİB</t>
        </is>
      </c>
    </row>
    <row r="45">
      <c r="A45" s="5" t="inlineStr">
        <is>
          <t>İnformasiyanın etiketlənməsi qaydaları</t>
        </is>
      </c>
      <c r="B45" s="5" t="inlineStr">
        <is>
          <t>Information Labelling Rules</t>
        </is>
      </c>
      <c r="C45" s="5" t="inlineStr">
        <is>
          <t>Labelling of information/assets according to the adopted classification.</t>
        </is>
      </c>
      <c r="D45" s="5" t="inlineStr">
        <is>
          <t>Bənd 4.6.6, 4.6.5</t>
        </is>
      </c>
      <c r="E45" s="5" t="inlineStr">
        <is>
          <t>CBAR İnformasiya təhlükəsizliyi Tələbləri (14/2), Banklarda informasiya təhlükəsizliyinin idarə edilməsi Qaydası (20/1) — LƏĞV EDİLİB</t>
        </is>
      </c>
    </row>
    <row r="46">
      <c r="A46" s="5" t="inlineStr">
        <is>
          <t>Girişlər üzrə qaydalar</t>
        </is>
      </c>
      <c r="B46" s="5" t="inlineStr">
        <is>
          <t>Access Control Rules</t>
        </is>
      </c>
      <c r="C46" s="5" t="inlineStr">
        <is>
          <t>Lifecycle registration, account classification, dormant-account blocking, least privilege, revocation.</t>
        </is>
      </c>
      <c r="D46" s="5" t="inlineStr">
        <is>
          <t>Bənd 4.7</t>
        </is>
      </c>
      <c r="E46" s="5" t="inlineStr">
        <is>
          <t>CBAR İnformasiya təhlükəsizliyi Tələbləri (14/2), Banklarda informasiya təhlükəsizliyinin idarə edilməsi Qaydası (20/1) — LƏĞV EDİLİB</t>
        </is>
      </c>
    </row>
    <row r="47">
      <c r="A47" s="5" t="inlineStr">
        <is>
          <t>Autentikasiya məlumatlarının idarə edilməsi qaydaları</t>
        </is>
      </c>
      <c r="B47" s="5" t="inlineStr">
        <is>
          <t>Authentication (Password) Management Rules</t>
        </is>
      </c>
      <c r="C47" s="5" t="inlineStr">
        <is>
          <t>Default credential change, password strength/expiry/history, user responsibility.</t>
        </is>
      </c>
      <c r="D47" s="5" t="inlineStr">
        <is>
          <t>Bənd 4.8</t>
        </is>
      </c>
      <c r="E47" s="5" t="inlineStr">
        <is>
          <t>CBAR İnformasiya təhlükəsizliyi Tələbləri (14/2), Banklarda informasiya təhlükəsizliyinin idarə edilməsi Qaydası (20/1) — LƏĞV EDİLİB</t>
        </is>
      </c>
    </row>
    <row r="48">
      <c r="A48" s="5" t="inlineStr">
        <is>
          <t>Təchizatçılarla münasibətlərdə informasiya təhlükəsizliyi tələbləri</t>
        </is>
      </c>
      <c r="B48" s="5" t="inlineStr">
        <is>
          <t>Supplier (Third-Party) IS Requirements</t>
        </is>
      </c>
      <c r="C48" s="5" t="inlineStr">
        <is>
          <t>IS clauses with suppliers, supplier register and monitoring, outsourced-service risk assessment.</t>
        </is>
      </c>
      <c r="D48" s="5" t="inlineStr">
        <is>
          <t>Bənd 4.9</t>
        </is>
      </c>
      <c r="E48" s="5" t="inlineStr">
        <is>
          <t>CBAR İnformasiya təhlükəsizliyi Tələbləri (14/2), Banklarda informasiya təhlükəsizliyinin idarə edilməsi Qaydası (20/1) — LƏĞV EDİLİB</t>
        </is>
      </c>
    </row>
    <row r="49">
      <c r="A49" s="5" t="inlineStr">
        <is>
          <t>“Bulud” xidmətləri üzrə qaydalar</t>
        </is>
      </c>
      <c r="B49" s="5" t="inlineStr">
        <is>
          <t>Cloud Services Rules</t>
        </is>
      </c>
      <c r="C49" s="5" t="inlineStr">
        <is>
          <t>Cloud selection criteria, roles, controls split, incidents, BCP, exit strategy; mandatory contract terms.</t>
        </is>
      </c>
      <c r="D49" s="5" t="inlineStr">
        <is>
          <t>Bənd 4.10.1, 4.10.2</t>
        </is>
      </c>
      <c r="E49" s="5" t="inlineStr">
        <is>
          <t>CBAR İnformasiya təhlükəsizliyi Tələbləri (14/2), Banklarda informasiya təhlükəsizliyinin idarə edilməsi Qaydası (20/1) — LƏĞV EDİLİB</t>
        </is>
      </c>
    </row>
    <row r="50">
      <c r="A50" s="5" t="inlineStr">
        <is>
          <t>İnformasiya təhlükəsizliyi insidentlərinin idarə edilməsi qaydaları</t>
        </is>
      </c>
      <c r="B50" s="5" t="inlineStr">
        <is>
          <t>IS Incident Management Rules</t>
        </is>
      </c>
      <c r="C50" s="5" t="inlineStr">
        <is>
          <t>Event triage, incident response, categorisation, evidence, knowledge base.</t>
        </is>
      </c>
      <c r="D50" s="5" t="inlineStr">
        <is>
          <t>Bənd 4.11</t>
        </is>
      </c>
      <c r="E50" s="5" t="inlineStr">
        <is>
          <t>CBAR İnformasiya təhlükəsizliyi Tələbləri (14/2), Banklarda informasiya təhlükəsizliyinin idarə edilməsi Qaydası (20/1) — LƏĞV EDİLİB</t>
        </is>
      </c>
    </row>
    <row r="51">
      <c r="A51" s="5" t="inlineStr">
        <is>
          <t>Fövqəladə hallarda fəaliyyətin davamlılığı və bərpası planı</t>
        </is>
      </c>
      <c r="B51" s="5" t="inlineStr">
        <is>
          <t>Business Continuity and Disaster Recovery Plan</t>
        </is>
      </c>
      <c r="C51" s="5" t="inlineStr">
        <is>
          <t>BIA-driven BC/DR plan with RPO/RTO, responsibilities, topology, communications; tested twice a year.</t>
        </is>
      </c>
      <c r="D51" s="5" t="inlineStr">
        <is>
          <t>Bənd 4.12.5, 4.12, 4.14</t>
        </is>
      </c>
      <c r="E51" s="5" t="inlineStr">
        <is>
          <t>CBAR İnformasiya təhlükəsizliyi Tələbləri (14/2), Banklarda informasiya təhlükəsizliyinin idarə edilməsi Qaydası (20/1) — LƏĞV EDİLİB</t>
        </is>
      </c>
    </row>
    <row r="52">
      <c r="A52" s="5" t="inlineStr">
        <is>
          <t>Məlumatların saxlanılması, arxivləşdirilməsi və məhv edilməsi üzrə nəzarət tədbirləri</t>
        </is>
      </c>
      <c r="B52" s="5" t="inlineStr">
        <is>
          <t>Data Retention, Archiving and Destruction Controls</t>
        </is>
      </c>
      <c r="C52" s="5" t="inlineStr">
        <is>
          <t>Retention/archiving/destruction controls reflecting law and classification.</t>
        </is>
      </c>
      <c r="D52" s="5" t="inlineStr">
        <is>
          <t>Bənd 4.18</t>
        </is>
      </c>
      <c r="E52" s="5" t="inlineStr">
        <is>
          <t>CBAR İnformasiya təhlükəsizliyi Tələbləri (14/2), Banklarda informasiya təhlükəsizliyinin idarə edilməsi Qaydası (20/1) — LƏĞV EDİLİB</t>
        </is>
      </c>
    </row>
    <row r="53">
      <c r="A53" s="5" t="inlineStr">
        <is>
          <t>İT əməliyyat prosedurları</t>
        </is>
      </c>
      <c r="B53" s="5" t="inlineStr">
        <is>
          <t>IT Operating Procedures</t>
        </is>
      </c>
      <c r="C53" s="5" t="inlineStr">
        <is>
          <t>Documented procedures for installation, integration, error handling, recovery, audit trail and monitoring.</t>
        </is>
      </c>
      <c r="D53" s="5" t="inlineStr">
        <is>
          <t>Bənd 4.20</t>
        </is>
      </c>
      <c r="E53" s="5" t="inlineStr">
        <is>
          <t>CBAR İnformasiya təhlükəsizliyi Tələbləri (14/2), Banklarda informasiya təhlükəsizliyinin idarə edilməsi Qaydası (20/1) — LƏĞV EDİLİB</t>
        </is>
      </c>
    </row>
    <row r="54">
      <c r="A54" s="5" t="inlineStr">
        <is>
          <t>Konfidensiallıq razılaşması formaları</t>
        </is>
      </c>
      <c r="B54" s="5" t="inlineStr">
        <is>
          <t>Confidentiality / Non-Disclosure Agreement Forms</t>
        </is>
      </c>
      <c r="C54" s="5" t="inlineStr">
        <is>
          <t>NDA forms signed with staff and suppliers when access is granted.</t>
        </is>
      </c>
      <c r="D54" s="5" t="inlineStr">
        <is>
          <t>Bənd 5.4</t>
        </is>
      </c>
      <c r="E54" s="5" t="inlineStr">
        <is>
          <t>CBAR İnformasiya təhlükəsizliyi Tələbləri (14/2), Banklarda informasiya təhlükəsizliyinin idarə edilməsi Qaydası (20/1) — LƏĞV EDİLİB</t>
        </is>
      </c>
    </row>
    <row r="55">
      <c r="A55" s="5" t="inlineStr">
        <is>
          <t>Məsafədən iş qaydaları</t>
        </is>
      </c>
      <c r="B55" s="5" t="inlineStr">
        <is>
          <t>Remote Working Rules</t>
        </is>
      </c>
      <c r="C55" s="5" t="inlineStr">
        <is>
          <t>Security requirements for remote work (physical, networks, updates, malware).</t>
        </is>
      </c>
      <c r="D55" s="5" t="inlineStr">
        <is>
          <t>Bənd 5.5</t>
        </is>
      </c>
      <c r="E55" s="5" t="inlineStr">
        <is>
          <t>CBAR İnformasiya təhlükəsizliyi Tələbləri (14/2), Banklarda informasiya təhlükəsizliyinin idarə edilməsi Qaydası (20/1) — LƏĞV EDİLİB</t>
        </is>
      </c>
    </row>
    <row r="56">
      <c r="A56" s="5" t="inlineStr">
        <is>
          <t>Ofis, otaq və avadanlıqların mühafizəsi qaydaları</t>
        </is>
      </c>
      <c r="B56" s="5" t="inlineStr">
        <is>
          <t>Physical Security Rules (Offices, Rooms, Equipment)</t>
        </is>
      </c>
      <c r="C56" s="5" t="inlineStr">
        <is>
          <t>Prevent unauthorised physical access, damage and interference.</t>
        </is>
      </c>
      <c r="D56" s="5" t="inlineStr">
        <is>
          <t>Bənd 6.2, 6.1</t>
        </is>
      </c>
      <c r="E56" s="5" t="inlineStr">
        <is>
          <t>CBAR İnformasiya təhlükəsizliyi Tələbləri (14/2), Banklarda informasiya təhlükəsizliyinin idarə edilməsi Qaydası (20/1) — LƏĞV EDİLİB</t>
        </is>
      </c>
    </row>
    <row r="57">
      <c r="A57" s="5" t="inlineStr">
        <is>
          <t>Təmiz masa və təmiz ekran qaydası</t>
        </is>
      </c>
      <c r="B57" s="5" t="inlineStr">
        <is>
          <t>Clear Desk and Clear Screen Rule</t>
        </is>
      </c>
      <c r="C57" s="5" t="inlineStr">
        <is>
          <t>Protection of paper and screen-displayed sensitive information.</t>
        </is>
      </c>
      <c r="D57" s="5" t="inlineStr">
        <is>
          <t>Bənd 6.8</t>
        </is>
      </c>
      <c r="E57" s="5" t="inlineStr">
        <is>
          <t>CBAR İnformasiya təhlükəsizliyi Tələbləri (14/2), Banklarda informasiya təhlükəsizliyinin idarə edilməsi Qaydası (20/1) — LƏĞV EDİLİB</t>
        </is>
      </c>
    </row>
    <row r="58">
      <c r="A58" s="5" t="inlineStr">
        <is>
          <t>Avadanlıqların fiziki məhv edilməsi qaydası</t>
        </is>
      </c>
      <c r="B58" s="5" t="inlineStr">
        <is>
          <t>Equipment Disposal / Destruction Rule</t>
        </is>
      </c>
      <c r="C58" s="5" t="inlineStr">
        <is>
          <t>Irrecoverable wiping and documented physical destruction of media.</t>
        </is>
      </c>
      <c r="D58" s="5" t="inlineStr">
        <is>
          <t>Bənd 6.14</t>
        </is>
      </c>
      <c r="E58" s="5" t="inlineStr">
        <is>
          <t>CBAR İnformasiya təhlükəsizliyi Tələbləri (14/2), Banklarda informasiya təhlükəsizliyinin idarə edilməsi Qaydası (20/1) — LƏĞV EDİLİB</t>
        </is>
      </c>
    </row>
    <row r="59">
      <c r="A59" s="5" t="inlineStr">
        <is>
          <t>Son istifadəçi cihazlarının təhlükəsiz konfiqurasiyası və idarə edilməsi qaydaları</t>
        </is>
      </c>
      <c r="B59" s="5" t="inlineStr">
        <is>
          <t>Endpoint Security Rules</t>
        </is>
      </c>
      <c r="C59" s="5" t="inlineStr">
        <is>
          <t>Registration, hardening, encryption, anti-malware and network rules for endpoints.</t>
        </is>
      </c>
      <c r="D59" s="5" t="inlineStr">
        <is>
          <t>Bənd 7.1</t>
        </is>
      </c>
      <c r="E59" s="5" t="inlineStr">
        <is>
          <t>CBAR İnformasiya təhlükəsizliyi Tələbləri (14/2), Banklarda informasiya təhlükəsizliyinin idarə edilməsi Qaydası (20/1) — LƏĞV EDİLİB</t>
        </is>
      </c>
    </row>
    <row r="60">
      <c r="A60" s="5" t="inlineStr">
        <is>
          <t>Ehtiyat nüsxələrin yaradılması və bərpası qaydaları</t>
        </is>
      </c>
      <c r="B60" s="5" t="inlineStr">
        <is>
          <t>Backup and Restore Rules</t>
        </is>
      </c>
      <c r="C60" s="5" t="inlineStr">
        <is>
          <t>Backup scope/frequency, encryption, retention, semi-annual restore tests.</t>
        </is>
      </c>
      <c r="D60" s="5" t="inlineStr">
        <is>
          <t>Bənd 7.8</t>
        </is>
      </c>
      <c r="E60" s="5" t="inlineStr">
        <is>
          <t>CBAR İnformasiya təhlükəsizliyi Tələbləri (14/2), Banklarda informasiya təhlükəsizliyinin idarə edilməsi Qaydası (20/1) — LƏĞV EDİLİB</t>
        </is>
      </c>
    </row>
    <row r="61">
      <c r="A61" s="5" t="inlineStr">
        <is>
          <t>Loqların yaradılması, saxlanılması, mühafizəsi və təhlili qaydaları</t>
        </is>
      </c>
      <c r="B61" s="5" t="inlineStr">
        <is>
          <t>Logging and Monitoring Rules</t>
        </is>
      </c>
      <c r="C61" s="5" t="inlineStr">
        <is>
          <t>Log content, ≥1-year retention, integrity, monitoring.</t>
        </is>
      </c>
      <c r="D61" s="5" t="inlineStr">
        <is>
          <t>Bənd 7.9</t>
        </is>
      </c>
      <c r="E61" s="5" t="inlineStr">
        <is>
          <t>CBAR İnformasiya təhlükəsizliyi Tələbləri (14/2), Banklarda informasiya təhlükəsizliyinin idarə edilməsi Qaydası (20/1) — LƏĞV EDİLİB</t>
        </is>
      </c>
    </row>
    <row r="62">
      <c r="A62" s="5" t="inlineStr">
        <is>
          <t>Şəbəkə xidmətləri üzrə qaydalar</t>
        </is>
      </c>
      <c r="B62" s="5" t="inlineStr">
        <is>
          <t>Network Services Security Rules</t>
        </is>
      </c>
      <c r="C62" s="5" t="inlineStr">
        <is>
          <t>Permitted networks/services, authentication, VPN/wireless, access attributes.</t>
        </is>
      </c>
      <c r="D62" s="5" t="inlineStr">
        <is>
          <t>Bənd 7.12, 7.11</t>
        </is>
      </c>
      <c r="E62" s="5" t="inlineStr">
        <is>
          <t>CBAR İnformasiya təhlükəsizliyi Tələbləri (14/2), Banklarda informasiya təhlükəsizliyinin idarə edilməsi Qaydası (20/1) — LƏĞV EDİLİB</t>
        </is>
      </c>
    </row>
    <row r="63">
      <c r="A63" s="5" t="inlineStr">
        <is>
          <t>İnternet resurslarından təhlükəsiz istifadə qaydaları</t>
        </is>
      </c>
      <c r="B63" s="5" t="inlineStr">
        <is>
          <t>Internet and Social Media Use Rules</t>
        </is>
      </c>
      <c r="C63" s="5" t="inlineStr">
        <is>
          <t>Blocking of undesirable sites, social media account security.</t>
        </is>
      </c>
      <c r="D63" s="5" t="inlineStr">
        <is>
          <t>Bənd 7.13</t>
        </is>
      </c>
      <c r="E63" s="5" t="inlineStr">
        <is>
          <t>CBAR İnformasiya təhlükəsizliyi Tələbləri (14/2), Banklarda informasiya təhlükəsizliyinin idarə edilməsi Qaydası (20/1) — LƏĞV EDİLİB</t>
        </is>
      </c>
    </row>
    <row r="64">
      <c r="A64" s="5" t="inlineStr">
        <is>
          <t>Təhlükəsiz inkişaf metodologiyası və təhlükəsiz kodlaşdırma təlimatı</t>
        </is>
      </c>
      <c r="B64" s="5" t="inlineStr">
        <is>
          <t>Secure Development Methodology and Secure Coding Guideline</t>
        </is>
      </c>
      <c r="C64" s="5" t="inlineStr">
        <is>
          <t>SDLC security, environment separation, code review, outsourced development rules.</t>
        </is>
      </c>
      <c r="D64" s="5" t="inlineStr">
        <is>
          <t>Bənd 7.26.2, 7.26, 7.26.7, 7.14</t>
        </is>
      </c>
      <c r="E64" s="5" t="inlineStr">
        <is>
          <t>CBAR İnformasiya təhlükəsizliyi Tələbləri (14/2), Banklarda informasiya təhlükəsizliyinin idarə edilməsi Qaydası (20/1) — LƏĞV EDİLİB</t>
        </is>
      </c>
    </row>
    <row r="65">
      <c r="A65" s="5" t="inlineStr">
        <is>
          <t>Dəyişikliklərin idarə edilməsi qaydaları</t>
        </is>
      </c>
      <c r="B65" s="5" t="inlineStr">
        <is>
          <t>Change Management Rules</t>
        </is>
      </c>
      <c r="C65" s="5" t="inlineStr">
        <is>
          <t>Registration, testing, risk assessment, rollback and emergency change of IS-relevant changes.</t>
        </is>
      </c>
      <c r="D65" s="5" t="inlineStr">
        <is>
          <t>Bənd 7.28</t>
        </is>
      </c>
      <c r="E65" s="5" t="inlineStr">
        <is>
          <t>CBAR İnformasiya təhlükəsizliyi Tələbləri (14/2), Banklarda informasiya təhlükəsizliyinin idarə edilməsi Qaydası (20/1) — LƏĞV EDİLİB</t>
        </is>
      </c>
    </row>
    <row r="66">
      <c r="A66" s="5" t="inlineStr">
        <is>
          <t>Kriptoqrafik vasitələr və açarların idarə edilməsi</t>
        </is>
      </c>
      <c r="B66" s="5" t="inlineStr">
        <is>
          <t>Cryptography and Key Management Rules</t>
        </is>
      </c>
      <c r="C66" s="5" t="inlineStr">
        <is>
          <t>Crypto usage, algorithm strength, key lifecycle management.</t>
        </is>
      </c>
      <c r="D66" s="5" t="inlineStr">
        <is>
          <t>Bənd 7.25</t>
        </is>
      </c>
      <c r="E66" s="5" t="inlineStr">
        <is>
          <t>CBAR İnformasiya təhlükəsizliyi Tələbləri (14/2), Banklarda informasiya təhlükəsizliyinin idarə edilməsi Qaydası (20/1) — LƏĞV EDİLİB</t>
        </is>
      </c>
    </row>
    <row r="67">
      <c r="A67" s="5" t="inlineStr">
        <is>
          <t>İnformasiya təhlükəsizliyi üzrə təlim proqramları</t>
        </is>
      </c>
      <c r="B67" s="5" t="inlineStr">
        <is>
          <t>IS Training and Awareness Programme</t>
        </is>
      </c>
      <c r="C67" s="5" t="inlineStr">
        <is>
          <t>CEO-approved staff training (2/yr), awareness (4/yr), supplier and customer awareness.</t>
        </is>
      </c>
      <c r="D67" s="5" t="inlineStr">
        <is>
          <t>Bənd 5.2.5, 5.2.2</t>
        </is>
      </c>
      <c r="E67" s="5" t="inlineStr">
        <is>
          <t>CBAR İnformasiya təhlükəsizliyi Tələbləri (14/2), Banklarda informasiya təhlükəsizliyinin idarə edilməsi Qaydası (20/1) — LƏĞV EDİLİB</t>
        </is>
      </c>
    </row>
    <row r="68">
      <c r="A68" s="5" t="inlineStr">
        <is>
          <t>Texniki zəifliklərin idarə edilməsi (vəzifələr və prosedurlar)</t>
        </is>
      </c>
      <c r="B68" s="5" t="inlineStr">
        <is>
          <t>Vulnerability and Patch Management Procedure</t>
        </is>
      </c>
      <c r="C68" s="5" t="inlineStr">
        <is>
          <t>Roles for vulnerability monitoring, patching, annual pen tests, pre-production testing.</t>
        </is>
      </c>
      <c r="D68" s="5" t="inlineStr">
        <is>
          <t>Bənd 7.18</t>
        </is>
      </c>
      <c r="E68" s="5" t="inlineStr">
        <is>
          <t>CBAR İnformasiya təhlükəsizliyi Tələbləri (14/2), Banklarda informasiya təhlükəsizliyinin idarə edilməsi Qaydası (20/1) — LƏĞV EDİLİB</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s>
  <sheetData>
    <row r="1">
      <c r="A1" s="9" t="inlineStr">
        <is>
          <t>Qanun / qayda</t>
        </is>
      </c>
      <c r="B1" s="9" t="inlineStr">
        <is>
          <t>Öhdəlik sayı</t>
        </is>
      </c>
      <c r="C1" s="9" t="inlineStr">
        <is>
          <t>Yüksək</t>
        </is>
      </c>
      <c r="D1" s="9" t="inlineStr">
        <is>
          <t>Orta</t>
        </is>
      </c>
      <c r="E1" s="9" t="inlineStr">
        <is>
          <t>Aşağı</t>
        </is>
      </c>
    </row>
    <row r="2">
      <c r="A2" s="10" t="inlineStr">
        <is>
          <t>CBAR İnformasiya təhlükəsizliyi Tələbləri (14/2)</t>
        </is>
      </c>
      <c r="B2" s="10">
        <f>COUNTIF(Öhdəliklər!$C:$C,A2)</f>
        <v/>
      </c>
      <c r="C2" s="10">
        <f>COUNTIFS(Öhdəliklər!$C:$C,A2,Öhdəliklər!$K:$K,"Yüksək")</f>
        <v/>
      </c>
      <c r="D2" s="10">
        <f>COUNTIFS(Öhdəliklər!$C:$C,A2,Öhdəliklər!$K:$K,"Orta")</f>
        <v/>
      </c>
      <c r="E2" s="10">
        <f>COUNTIFS(Öhdəliklər!$C:$C,A2,Öhdəliklər!$K:$K,"Aşağı")</f>
        <v/>
      </c>
    </row>
    <row r="3">
      <c r="A3" s="10" t="inlineStr">
        <is>
          <t>Elektron İmza Qanunu</t>
        </is>
      </c>
      <c r="B3" s="10">
        <f>COUNTIF(Öhdəliklər!$C:$C,A3)</f>
        <v/>
      </c>
      <c r="C3" s="10">
        <f>COUNTIFS(Öhdəliklər!$C:$C,A3,Öhdəliklər!$K:$K,"Yüksək")</f>
        <v/>
      </c>
      <c r="D3" s="10">
        <f>COUNTIFS(Öhdəliklər!$C:$C,A3,Öhdəliklər!$K:$K,"Orta")</f>
        <v/>
      </c>
      <c r="E3" s="10">
        <f>COUNTIFS(Öhdəliklər!$C:$C,A3,Öhdəliklər!$K:$K,"Aşağı")</f>
        <v/>
      </c>
    </row>
    <row r="4">
      <c r="A4" s="10" t="inlineStr">
        <is>
          <t>Fərdi məlumatlar haqqında Qanun</t>
        </is>
      </c>
      <c r="B4" s="10">
        <f>COUNTIF(Öhdəliklər!$C:$C,A4)</f>
        <v/>
      </c>
      <c r="C4" s="10">
        <f>COUNTIFS(Öhdəliklər!$C:$C,A4,Öhdəliklər!$K:$K,"Yüksək")</f>
        <v/>
      </c>
      <c r="D4" s="10">
        <f>COUNTIFS(Öhdəliklər!$C:$C,A4,Öhdəliklər!$K:$K,"Orta")</f>
        <v/>
      </c>
      <c r="E4" s="10">
        <f>COUNTIFS(Öhdəliklər!$C:$C,A4,Öhdəliklər!$K:$K,"Aşağı")</f>
        <v/>
      </c>
    </row>
    <row r="5">
      <c r="A5" s="10" t="inlineStr">
        <is>
          <t>KİI Qaydaları (NK № 229) / İnformasiya Qanunu V-I fəsil</t>
        </is>
      </c>
      <c r="B5" s="10">
        <f>COUNTIF(Öhdəliklər!$C:$C,A5)</f>
        <v/>
      </c>
      <c r="C5" s="10">
        <f>COUNTIFS(Öhdəliklər!$C:$C,A5,Öhdəliklər!$K:$K,"Yüksək")</f>
        <v/>
      </c>
      <c r="D5" s="10">
        <f>COUNTIFS(Öhdəliklər!$C:$C,A5,Öhdəliklər!$K:$K,"Orta")</f>
        <v/>
      </c>
      <c r="E5" s="10">
        <f>COUNTIFS(Öhdəliklər!$C:$C,A5,Öhdəliklər!$K:$K,"Aşağı")</f>
        <v/>
      </c>
    </row>
    <row r="6">
      <c r="A6" s="10" t="inlineStr">
        <is>
          <t>İnformasiya Qanunu</t>
        </is>
      </c>
      <c r="B6" s="10">
        <f>COUNTIF(Öhdəliklər!$C:$C,A6)</f>
        <v/>
      </c>
      <c r="C6" s="10">
        <f>COUNTIFS(Öhdəliklər!$C:$C,A6,Öhdəliklər!$K:$K,"Yüksək")</f>
        <v/>
      </c>
      <c r="D6" s="10">
        <f>COUNTIFS(Öhdəliklər!$C:$C,A6,Öhdəliklər!$K:$K,"Orta")</f>
        <v/>
      </c>
      <c r="E6" s="10">
        <f>COUNTIFS(Öhdəliklər!$C:$C,A6,Öhdəliklər!$K:$K,"Aşağı")</f>
        <v/>
      </c>
    </row>
    <row r="7">
      <c r="A7" s="11" t="inlineStr">
        <is>
          <t>Cəmi</t>
        </is>
      </c>
      <c r="B7" s="11">
        <f>SUM(B2:B6)</f>
        <v/>
      </c>
      <c r="C7" s="11">
        <f>SUM(C2:C6)</f>
        <v/>
      </c>
      <c r="D7" s="11">
        <f>SUM(D2:D6)</f>
        <v/>
      </c>
      <c r="E7" s="11">
        <f>SUM(E2:E6)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130" customWidth="1" min="2" max="2"/>
  </cols>
  <sheetData>
    <row r="1">
      <c r="A1" s="9" t="inlineStr">
        <is>
          <t>Fayl</t>
        </is>
      </c>
      <c r="B1" s="9" t="inlineStr">
        <is>
          <t>Qeyd</t>
        </is>
      </c>
    </row>
    <row r="2">
      <c r="A2" s="12" t="inlineStr">
        <is>
          <t>personal_data</t>
        </is>
      </c>
      <c r="B2" s="12" t="inlineStr">
        <is>
          <t>Mətn rəsmi Hüquqi İnformasiya Mərkəzinin e-qanun.az portalından (framework 19675, htmlUrl) götürülüb; bütün verbatim_az sitatları skript vasitəsilə həmin mətnə qarşı hərfi-hərfinə yoxlanılıb ('[…]' buraxılmış hissəni göstərir; '[3]' kimi işarələr mənbədəki dəyişiklik qeydləridir). Konsolidə mətndə son dəyişiklik 28.06.2024 № 1193-VIQD-dir; ondan sonrakı dəyişikliklər (əgər varsa) portalda əks olunmayıbsa, burada yoxdur — tətbiqdən əvvəl yoxlanmalı. Qanun nəzarət orqanını yalnız 'müvafiq icra hakimiyyəti orqanı' kimi göstərir. 'Rəqəmsal İnkişaf və Nəqliyyat Nazirliyi' göstəricisi qanunun mətnindən deyil, tətbiq fərmanlarından (4 iyun 2010 № 275 və sonrakı dəyişikliklər) və nazirliyin əsasnaməsindən irəli gələn cari təcrübəyə əsaslanır — (yoxlanmalı). Mühafizə tələblərinə (5.9) nəzarətdə təhlükəsizlik orqanlarının rolu da yoxlanmalıdır. Qanunda GDPR-dəki kimi pozuntu (breach) barədə bildiriş öhdəliyi, DPO təyinatı və ya DPIA tələbi yoxdur; 'Fərdi məlumat insidentlərinə cavab proseduru' ən yaxşı təcrübə kimi əlavə edilib. 9.14 (lisenziya) tələbinin praktiki tətbiqi 'Lisenziyalar və icazələr haqqında' Qanunun hazırkı siyahısına qarşı yoxlanmalıdır. Sertifikatlaşdırma və dövlət ekspertizası (6.0.6, 6.0.8, 7.1.9, 11.2.4) qanunda dövlət tənzimləməsi forması kimi göstərilir, lakin mülkiyyətçiyə birbaşa 'sertifikat almalıdır' öhdəliyi ayrıca maddədə yoxdur; ona görə ayrıca öhdəlik kimi daxil edilməyib (yalnız 11.2.4 üzrə məlumatlandırma). Daxil edilməyən, lakin niş hallarda tətbiq olunan müddəalar: 5.7 (ümumi istifadəli sistemlərə açıq mənbələrdən daxil edilən məlumatlar barədə subyektə bildiriş), 8.5 (açıq kateqoriyanı sübut etmək), 9.13 (elmi/statistik tədqiqatda adsızlaşdırma), 10.5 (əməliyyat-axtarış tədbirlərinə şərait), 15.6 (qeydiyyat ləğv edildikdə məlumatların məhvi), 18.3 (müxtəlif mülkiyyətçilərin sistemlərinin birləşdirilməsinin qadağası). Məsuliyyət (19-cu maddə) ümumi istinad xarakterlidir; konkret cərimələr İnzibati Xətalar Məcəlləsi və Cinayət Məcəlləsində (məs. şəxsi həyatın toxunulmazlığı) müəyyən edilir — risk səviyyələri subyektiv qiymətləndirmədir. Mənbə mətndə qeyd: [9]-cu dəyişiklik qeydi 2018-ci il qanunu ilə 13.2-1-dən 'birbaşa və ya' sözlərinin çıxarıldığını bildirir, lakin konsolidə mətndə bu sözlər hələ də var — portalın redaksiya uyğunsuzluğu (bu kitabxanadakı öhdəliklərə təsir etmir).</t>
        </is>
      </c>
    </row>
    <row r="3">
      <c r="A3" s="12" t="inlineStr">
        <is>
          <t>info_esign_kii</t>
        </is>
      </c>
      <c r="B3" s="12" t="inlineStr">
        <is>
          <t>SOURCES: All verbatim quotes were extracted programmatically from official consolidated texts on e-qanun.az (Ministry of Justice legal database) fetched 2026-10-15: info law framework 3525, e-signature law 5916, KII Rules (Cabinet Decision 229) 54651. Editorial footnote markers like “[58]” were removed from quotes; otherwise text is unchanged. Articles 1–21 of the info law have no sub-numbering, so references use “Maddə X (n-ci hissə)”. KII Rules were cross-checked against the original publication in the “Azərbaycan” newspaper (20.07.2023); the e-qanun text includes the 02.12.2023 (NK № 431) amendments. nk.gov.az, azertag.az and meclis.gov.az were unreachable from this environment (connection reset / Cloudflare block). 
KII STATUS: KII rules are in force (not drafts): Info law ch. V-I (Art. 20-1 – 20-6, added by 539-VIQD of 27.05.2022, amended by 861-VIQD of 11.04.2023), Cabinet Decision № 229 (17.07.2023), Register rules № 230 (17.07.2023, not fetched), KII object list № 501 (29.11.2024, not fetched — whether a given company is a KII subject depends on this list). Competent authority: State Security Service (DTX) / National Cyber Centre, jointly with XRİTDX for state bodies and state-owned legal entities (Decree № 1315). Micro, small and medium enterprises are excluded from the definition of KII subject (Art. 2). For private (non-state) entrepreneurs, compliance checks are conducted remotely, without site visits (Law 20-6.4; Rules 9.7). 
2026 CYBERSECURITY AMENDMENTS: Law 454-VIIQD of 14.07.2026 (published 10.08.2026) is already incorporated in the consolidated info-law text and in force (no deferred entry-into-force clause in the text; implemented by Decree № 761 of 10.08.2026). It adds ch. V-II (Art. 20-7 – 20-12): National CERT/SOC, sectoral CERTs, CERT/SOC registry, “information infrastructure performing socially significant functions”, digital forensics, a general duty on ALL information-infrastructure subjects to report incidents immediately to the National CERT, 24h/5-working-day request deadlines, and .az domain sanctions. PENDING / NOT YET ISSUED (not included as obligations): (1) general cybersecurity requirements for “information infrastructure performing socially significant functions” (Art. 20-7.5) — Cabinet must approve within 9 months of Decree 761 (≈ by May 2027); RİNN to submit draft within 8 months (Cabinet order 613s, 17.08.2026); sector-specific requirements to follow from sector regulators, and for financial-market entities from the Central Bank; (2) lists of socially-significant-infrastructure subjects (Art. 20-7.3) to be set by sector regulators; (3) rules on monitoring/audit/security opinions for state information resources (Art. 14, 8th part) and security rules for state bodies’ infrastructure (Art. 20-7.10); (4) KII-related CERTs/SOCs must be entered in the registry within ~1 year per Decree 761 §§4–5. The KII Rules (2023) have not (per e-qanun as of 2026-10-15) been updated to reflect 454-VIIQD; terminology (Milli kibermərkəz vs. Milli CERT) may change. (5) Law 431-VIIQD of 30.06.2026 (social-network platform age verification, new Art. 13-4/13-5, renumbering current 13-4 to 13-6) enters into force 05.08.2027 — relevant only to platform providers; not included. 
CAVEATS: Authorities marked “(yoxlanmalı)” could not be confirmed from the fetched implementing acts. The certification body under info-law Art. 16 was not identified. Liability amounts are set in the Code of Administrative Offences (not reviewed). Several obligations (ES-11, ES-12, INF-14, KII-15) apply only to specific roles (CA, intermediary, CERT/SOC operator, MSSP). The e-signature law Art. 34.2 has a textual defect on e-qanun (“İstifadə Tərkibində …”) and was not used. Frequencies such as “at least annual” in INF-09 are recommendations where the law sets none. This is a compliance-library sample, not legal advice.</t>
        </is>
      </c>
    </row>
    <row r="4">
      <c r="A4" s="12" t="inlineStr">
        <is>
          <t>cbar</t>
        </is>
      </c>
      <c r="B4" s="12" t="inlineStr">
        <is>
          <t>1) Act (a) — CBAR Board decision 20/1 of 14 July 2021 (number/date verified on official PDF and e-qanun) approving 'Banklarda informasiya təhlükəsizliyinin idarə edilməsi Qaydası' — has NO current version: its Part 1 (the Rules) was repealed by Decision 14/2 from 09.04.2025. 2) Act (b) verified: Decision 14/2 of 28.03.2024 'Maliyyə bazarlarında fəaliyyətinə nəzarət edilən subyektlərdə informasiya təhlükəsizliyinin təmin edilməsinə dair Tələblər' — registered 08.04.2024 (code 23202403280142), in force from 09.04.2025 (one year after publication). It applies to banks (Category I) and other supervised entities, so ALL obligations here are drawn from 14/2. 3) No extra act included: no separate CBAR outsourcing/cloud or IT-risk rule for banks was located with official text in this pass; note 14/2 itself contains cloud (4.10), supplier (4.9) and outsourced development (7.26.7) requirements. Other possibly relevant CBAR acts not reviewed: 'Banklarda risklərin idarə olunması haqqında Qaydalar', 'Gücləndirilmiş müştəri autentifikasiyasının tətbiqi Qaydası' (12/2, 13.03.2024), electronic banking methodological guidance. 4) verbatim_az fields are exact paragraph texts extracted programmatically from the e-qanun HTML (cp1251-decoded, whitespace normalised); multiple paragraphs are joined by newlines. Paragraph 8.3/8.4 say 'bu Qaydaya ... Əlavədə' (sic) in the official text. 5) Category-specific carve-outs (1.4, 1.5) do not affect banks. 6) obligation_az/en and risk ratings are editorial summaries, not legal text; not legal advice. 7) cbar.az also hosts a Board-approved 2026 regulation on CBAR's own IS/cyber/digital-fraud department (internal, not a bank obligation) — 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2026-10-15T19:11:36Z</dcterms:created>
  <dcterms:modified xmlns:dcterms="http://purl.org/dc/terms/" xmlns:xsi="http://www.w3.org/2001/XMLSchema-instance" xsi:type="dcterms:W3CDTF">2026-10-15T19:11:36Z</dcterms:modified>
</cp:coreProperties>
</file>